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Thoma\Documents\"/>
    </mc:Choice>
  </mc:AlternateContent>
  <xr:revisionPtr revIDLastSave="0" documentId="13_ncr:1_{E3F49C4B-B4FC-4579-92CB-FCE0C596D3BF}" xr6:coauthVersionLast="47" xr6:coauthVersionMax="47" xr10:uidLastSave="{00000000-0000-0000-0000-000000000000}"/>
  <bookViews>
    <workbookView xWindow="-108" yWindow="-108" windowWidth="23256" windowHeight="12456" xr2:uid="{5E9CA2AB-6670-43EA-A090-5C7DBD79142A}"/>
  </bookViews>
  <sheets>
    <sheet name="Jeu" sheetId="1" r:id="rId1"/>
    <sheet name="Déroulement" sheetId="7" r:id="rId2"/>
    <sheet name="Pokemon" sheetId="2" r:id="rId3"/>
    <sheet name="Miku" sheetId="8" r:id="rId4"/>
    <sheet name="ESGI" sheetId="9" r:id="rId5"/>
    <sheet name="France" sheetId="10" r:id="rId6"/>
    <sheet name="Jadis" sheetId="11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6" i="7" l="1"/>
  <c r="M6" i="1" s="1"/>
  <c r="F15" i="7"/>
  <c r="M7" i="1" s="1"/>
  <c r="F4" i="7"/>
  <c r="F5" i="7"/>
  <c r="M17" i="1" s="1"/>
  <c r="F6" i="7"/>
  <c r="M16" i="1" s="1"/>
  <c r="F7" i="7"/>
  <c r="M15" i="1" s="1"/>
  <c r="F8" i="7"/>
  <c r="M14" i="1" s="1"/>
  <c r="F9" i="7"/>
  <c r="M13" i="1" s="1"/>
  <c r="F10" i="7"/>
  <c r="M12" i="1" s="1"/>
  <c r="F11" i="7"/>
  <c r="M11" i="1" s="1"/>
  <c r="F12" i="7"/>
  <c r="M10" i="1" s="1"/>
  <c r="F13" i="7"/>
  <c r="M9" i="1" s="1"/>
  <c r="F14" i="7"/>
  <c r="M8" i="1" s="1"/>
  <c r="B3" i="7"/>
  <c r="H4" i="1" s="1"/>
  <c r="E3" i="7" l="1"/>
  <c r="C2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Thomas Soidez</author>
  </authors>
  <commentList>
    <comment ref="B2" authorId="0" shapeId="0" xr:uid="{FD5304F6-2110-48E2-A3AC-F727361E61A1}">
      <text>
        <r>
          <rPr>
            <b/>
            <sz val="9"/>
            <color indexed="81"/>
            <rFont val="Tahoma"/>
            <family val="2"/>
          </rPr>
          <t>Thomas Soidez:</t>
        </r>
        <r>
          <rPr>
            <sz val="9"/>
            <color indexed="81"/>
            <rFont val="Tahoma"/>
            <family val="2"/>
          </rPr>
          <t xml:space="preserve">
num thème</t>
        </r>
      </text>
    </comment>
    <comment ref="C2" authorId="0" shapeId="0" xr:uid="{0EC108B5-858B-472C-92F3-E13ADAD08D75}">
      <text>
        <r>
          <rPr>
            <b/>
            <sz val="9"/>
            <color indexed="81"/>
            <rFont val="Tahoma"/>
            <family val="2"/>
          </rPr>
          <t>Thomas Soidez:</t>
        </r>
        <r>
          <rPr>
            <sz val="9"/>
            <color indexed="81"/>
            <rFont val="Tahoma"/>
            <family val="2"/>
          </rPr>
          <t xml:space="preserve">
num question</t>
        </r>
      </text>
    </comment>
    <comment ref="D2" authorId="0" shapeId="0" xr:uid="{C9AFA727-D5DD-4BEE-96EE-3DED9CDB5184}">
      <text>
        <r>
          <rPr>
            <b/>
            <sz val="9"/>
            <color indexed="81"/>
            <rFont val="Tahoma"/>
            <family val="2"/>
          </rPr>
          <t>Thomas Soidez:</t>
        </r>
        <r>
          <rPr>
            <sz val="9"/>
            <color indexed="81"/>
            <rFont val="Tahoma"/>
            <family val="2"/>
          </rPr>
          <t xml:space="preserve">
bonne réponse</t>
        </r>
      </text>
    </comment>
    <comment ref="E2" authorId="0" shapeId="0" xr:uid="{60B60602-261E-473F-A237-33C81A1B0C7C}">
      <text>
        <r>
          <rPr>
            <b/>
            <sz val="9"/>
            <color indexed="81"/>
            <rFont val="Tahoma"/>
            <family val="2"/>
          </rPr>
          <t>Thomas Soidez:</t>
        </r>
        <r>
          <rPr>
            <sz val="9"/>
            <color indexed="81"/>
            <rFont val="Tahoma"/>
            <family val="2"/>
          </rPr>
          <t xml:space="preserve">
nb points</t>
        </r>
      </text>
    </comment>
    <comment ref="B3" authorId="0" shapeId="0" xr:uid="{F40CA661-C085-4A4B-A940-30D4A76488E3}">
      <text>
        <r>
          <rPr>
            <b/>
            <sz val="9"/>
            <color indexed="81"/>
            <rFont val="Tahoma"/>
            <family val="2"/>
          </rPr>
          <t>Thomas Soidez:</t>
        </r>
        <r>
          <rPr>
            <sz val="9"/>
            <color indexed="81"/>
            <rFont val="Tahoma"/>
            <family val="2"/>
          </rPr>
          <t xml:space="preserve">
nom thème (et tabelle)</t>
        </r>
      </text>
    </comment>
    <comment ref="C3" authorId="0" shapeId="0" xr:uid="{A94D0D4D-496B-45FC-A135-1FC87E272DAC}">
      <text>
        <r>
          <rPr>
            <b/>
            <sz val="9"/>
            <color indexed="81"/>
            <rFont val="Tahoma"/>
            <family val="2"/>
          </rPr>
          <t>Thomas Soidez:</t>
        </r>
        <r>
          <rPr>
            <sz val="9"/>
            <color indexed="81"/>
            <rFont val="Tahoma"/>
            <family val="2"/>
          </rPr>
          <t xml:space="preserve">
code question</t>
        </r>
      </text>
    </comment>
    <comment ref="D3" authorId="0" shapeId="0" xr:uid="{6E8222FA-0335-4031-811E-1CECDD16D6C0}">
      <text>
        <r>
          <rPr>
            <b/>
            <sz val="9"/>
            <color indexed="81"/>
            <rFont val="Tahoma"/>
            <family val="2"/>
          </rPr>
          <t>Thomas Soidez:</t>
        </r>
        <r>
          <rPr>
            <sz val="9"/>
            <color indexed="81"/>
            <rFont val="Tahoma"/>
            <family val="2"/>
          </rPr>
          <t xml:space="preserve">
réponse joueur</t>
        </r>
      </text>
    </comment>
    <comment ref="E3" authorId="0" shapeId="0" xr:uid="{0553A81F-5782-4A70-93BF-B1ADC952D2AA}">
      <text>
        <r>
          <rPr>
            <b/>
            <sz val="9"/>
            <color indexed="81"/>
            <rFont val="Tahoma"/>
            <family val="2"/>
          </rPr>
          <t>Thomas Soidez:</t>
        </r>
        <r>
          <rPr>
            <sz val="9"/>
            <color indexed="81"/>
            <rFont val="Tahoma"/>
            <family val="2"/>
          </rPr>
          <t xml:space="preserve">
somme d'argent atteinte</t>
        </r>
      </text>
    </comment>
    <comment ref="F4" authorId="0" shapeId="0" xr:uid="{A700CBE8-5E9D-4A6D-A288-4C6A3CB03081}">
      <text>
        <r>
          <rPr>
            <b/>
            <sz val="9"/>
            <color indexed="81"/>
            <rFont val="Tahoma"/>
            <family val="2"/>
          </rPr>
          <t>Thomas Soidez:</t>
        </r>
        <r>
          <rPr>
            <sz val="9"/>
            <color indexed="81"/>
            <rFont val="Tahoma"/>
            <family val="2"/>
          </rPr>
          <t xml:space="preserve">
Pyramide des gains, le X indique le numéro de la question et le gain</t>
        </r>
      </text>
    </comment>
    <comment ref="D5" authorId="0" shapeId="0" xr:uid="{2530431B-F649-4AE4-9F3F-BC40EFDB8910}">
      <text>
        <r>
          <rPr>
            <b/>
            <sz val="9"/>
            <color indexed="81"/>
            <rFont val="Tahoma"/>
            <family val="2"/>
          </rPr>
          <t>Thomas Soidez:</t>
        </r>
        <r>
          <rPr>
            <sz val="9"/>
            <color indexed="81"/>
            <rFont val="Tahoma"/>
            <family val="2"/>
          </rPr>
          <t xml:space="preserve">
2ème réponse du 50:50</t>
        </r>
      </text>
    </comment>
    <comment ref="D6" authorId="0" shapeId="0" xr:uid="{6DE6B462-79BE-4B50-AAC1-BEF75F621744}">
      <text>
        <r>
          <rPr>
            <b/>
            <sz val="9"/>
            <color indexed="81"/>
            <rFont val="Tahoma"/>
            <family val="2"/>
          </rPr>
          <t>Thomas Soidez:</t>
        </r>
        <r>
          <rPr>
            <sz val="9"/>
            <color indexed="81"/>
            <rFont val="Tahoma"/>
            <family val="2"/>
          </rPr>
          <t xml:space="preserve">
Activation du bonus pendant une manche</t>
        </r>
      </text>
    </comment>
    <comment ref="D8" authorId="0" shapeId="0" xr:uid="{C865F4DA-EAF8-40AF-823E-ACCE56255AB5}">
      <text>
        <r>
          <rPr>
            <b/>
            <sz val="9"/>
            <color indexed="81"/>
            <rFont val="Tahoma"/>
            <family val="2"/>
          </rPr>
          <t>Thomas Soidez:</t>
        </r>
        <r>
          <rPr>
            <sz val="9"/>
            <color indexed="81"/>
            <rFont val="Tahoma"/>
            <family val="2"/>
          </rPr>
          <t xml:space="preserve">
Activation du bonus pendant une manche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">
    <bk>
      <extLst>
        <ext uri="{3e2802c4-a4d2-4d8b-9148-e3be6c30e623}">
          <xlrd:rvb i="0"/>
        </ext>
      </extLst>
    </bk>
  </futureMetadata>
  <valueMetadata count="1">
    <bk>
      <rc t="1" v="0"/>
    </bk>
  </valueMetadata>
</metadata>
</file>

<file path=xl/sharedStrings.xml><?xml version="1.0" encoding="utf-8"?>
<sst xmlns="http://schemas.openxmlformats.org/spreadsheetml/2006/main" count="569" uniqueCount="404">
  <si>
    <t>Pokemon</t>
  </si>
  <si>
    <t>Miku</t>
  </si>
  <si>
    <t>ESGI</t>
  </si>
  <si>
    <t>France</t>
  </si>
  <si>
    <t>Jadis</t>
  </si>
  <si>
    <t>Intitulé</t>
  </si>
  <si>
    <t>A</t>
  </si>
  <si>
    <t>B</t>
  </si>
  <si>
    <t>C</t>
  </si>
  <si>
    <t>D</t>
  </si>
  <si>
    <t>Comment se nomme le village où Sacha Ketchum débute son aventure ?</t>
  </si>
  <si>
    <t>Qui est la mascotte de la franchise Pokémon ?</t>
  </si>
  <si>
    <t>Dans Pokémon Noir &amp; Blanc, comment se nomme le roi de la Team Plasma ?</t>
  </si>
  <si>
    <t>A quels jeux correspond la 4ème génération de Pokémon ?</t>
  </si>
  <si>
    <t>Qui est le tout premier Pokémon à avoir été imaginé ?</t>
  </si>
  <si>
    <t>Sur quelle console est sorti Pokémon Ecarlate &amp; Violet ?</t>
  </si>
  <si>
    <t>Code</t>
  </si>
  <si>
    <t>PKMN1</t>
  </si>
  <si>
    <t>PKMN2</t>
  </si>
  <si>
    <t>PKMN3</t>
  </si>
  <si>
    <t>PKMN4</t>
  </si>
  <si>
    <t>PKMN5</t>
  </si>
  <si>
    <t>PKMN6</t>
  </si>
  <si>
    <t>PKMN7</t>
  </si>
  <si>
    <t>PKMN8</t>
  </si>
  <si>
    <t>PKMN9</t>
  </si>
  <si>
    <t>PKMN11</t>
  </si>
  <si>
    <t>PKMN10</t>
  </si>
  <si>
    <t>PKMN12</t>
  </si>
  <si>
    <t>Quel est l'objectif d'Hélio dans Pokémon Diamant, Perle &amp; Platine ?</t>
  </si>
  <si>
    <t>Quelle région est inspiré de la France ?</t>
  </si>
  <si>
    <t>Quelle est l'anagramme présent dans le nom de l'antagoniste principal de Pokémon Soleil &amp; Lune ?</t>
  </si>
  <si>
    <t>Qui introduit la théorie de l'existence de plusieurs univers dans Pokémon ?</t>
  </si>
  <si>
    <t>Qui est le Dieu des Pokémon ?</t>
  </si>
  <si>
    <t>De quel type est le fameux youtuber Fildrong, grand maître en stratégie ?</t>
  </si>
  <si>
    <t>Rondoudou</t>
  </si>
  <si>
    <t>Keunotor</t>
  </si>
  <si>
    <t>Pikachu</t>
  </si>
  <si>
    <t>Dracaufeu</t>
  </si>
  <si>
    <t>Bourg-Palette</t>
  </si>
  <si>
    <t>Bourg-en-vol</t>
  </si>
  <si>
    <t>Renoué</t>
  </si>
  <si>
    <t>Village d'Udébut</t>
  </si>
  <si>
    <t>Dieu Keunotor</t>
  </si>
  <si>
    <t>Arceus</t>
  </si>
  <si>
    <t>Allah</t>
  </si>
  <si>
    <t>Mewtwo</t>
  </si>
  <si>
    <t>N</t>
  </si>
  <si>
    <t>François</t>
  </si>
  <si>
    <t>Guethis</t>
  </si>
  <si>
    <t>Nikolaï</t>
  </si>
  <si>
    <t>Pokémon Stadium</t>
  </si>
  <si>
    <t>Pokémon Rubis &amp; Saphir</t>
  </si>
  <si>
    <t>Pokémon Diamant &amp; Perle</t>
  </si>
  <si>
    <t>Pokémon Or &amp; Argent</t>
  </si>
  <si>
    <t>Gamecube, obviously</t>
  </si>
  <si>
    <t>3ds, la reine</t>
  </si>
  <si>
    <t>Switch 2, hmmm</t>
  </si>
  <si>
    <t xml:space="preserve">Switch, l'irrespect  </t>
  </si>
  <si>
    <t>Rhinoféros</t>
  </si>
  <si>
    <t>Abra</t>
  </si>
  <si>
    <t>Kalos</t>
  </si>
  <si>
    <t>Kanto</t>
  </si>
  <si>
    <t>Galar</t>
  </si>
  <si>
    <t>Paldéa</t>
  </si>
  <si>
    <t>ANIMALES</t>
  </si>
  <si>
    <t>LUSAMINE</t>
  </si>
  <si>
    <t>ALIENS</t>
  </si>
  <si>
    <t>Type Fée</t>
  </si>
  <si>
    <t>Type Poison</t>
  </si>
  <si>
    <t>Type Normal</t>
  </si>
  <si>
    <t>Type Acier</t>
  </si>
  <si>
    <t>AZ</t>
  </si>
  <si>
    <t>Guzma</t>
  </si>
  <si>
    <t>Amaryllis</t>
  </si>
  <si>
    <t>Prof. Chen</t>
  </si>
  <si>
    <t>Rendre le monde plus beau</t>
  </si>
  <si>
    <t>Effacer le monde</t>
  </si>
  <si>
    <t>Dominer le monde</t>
  </si>
  <si>
    <t>Libérer les Pokémon</t>
  </si>
  <si>
    <t>Bonne</t>
  </si>
  <si>
    <t>MIKU1</t>
  </si>
  <si>
    <t>MIKU2</t>
  </si>
  <si>
    <t>MIKU3</t>
  </si>
  <si>
    <t>MIKU4</t>
  </si>
  <si>
    <t>MIKU5</t>
  </si>
  <si>
    <t>MIKU6</t>
  </si>
  <si>
    <t>MIKU7</t>
  </si>
  <si>
    <t>MIKU8</t>
  </si>
  <si>
    <t>MIKU9</t>
  </si>
  <si>
    <t>MIKU10</t>
  </si>
  <si>
    <t>MIKU11</t>
  </si>
  <si>
    <t>MIKU12</t>
  </si>
  <si>
    <t>De quelle logiciel provient Hastune Miku ?</t>
  </si>
  <si>
    <t>Synthesizer V</t>
  </si>
  <si>
    <t>UTAU</t>
  </si>
  <si>
    <t>Vocaloïd</t>
  </si>
  <si>
    <t>Solaria</t>
  </si>
  <si>
    <t>Qui prête sa voix à Hatsune Miku ?</t>
  </si>
  <si>
    <t>Saki Fujita</t>
  </si>
  <si>
    <t>Megumi Han</t>
  </si>
  <si>
    <t>Koshitan</t>
  </si>
  <si>
    <t>Mme. Carlier</t>
  </si>
  <si>
    <t>Quelle est la date de sorti de la 1ère banque de voix de Miku ?</t>
  </si>
  <si>
    <t>22 août 2007</t>
  </si>
  <si>
    <t>25 août 2007</t>
  </si>
  <si>
    <t>27 aoüt 2007</t>
  </si>
  <si>
    <t>31 août 2007</t>
  </si>
  <si>
    <t>Qui a été créé en tant que blague du poisson d'Avril ?</t>
  </si>
  <si>
    <t>Hatsune Miku</t>
  </si>
  <si>
    <t>Kasane Teto</t>
  </si>
  <si>
    <t>GUMI</t>
  </si>
  <si>
    <t>Akita Neru</t>
  </si>
  <si>
    <t>Quelle est la 1ère musique de Miku non-officielle ?</t>
  </si>
  <si>
    <t>P@R@DOX LOVE</t>
  </si>
  <si>
    <t>01_ballad</t>
  </si>
  <si>
    <t>Ievan Polska</t>
  </si>
  <si>
    <t>White Letter</t>
  </si>
  <si>
    <t>ESGI1</t>
  </si>
  <si>
    <t>ESGI2</t>
  </si>
  <si>
    <t>ESGI3</t>
  </si>
  <si>
    <t>ESGI4</t>
  </si>
  <si>
    <t>ESGI5</t>
  </si>
  <si>
    <t>ESGI6</t>
  </si>
  <si>
    <t>ESGI7</t>
  </si>
  <si>
    <t>ESGI8</t>
  </si>
  <si>
    <t>ESGI9</t>
  </si>
  <si>
    <t>ESGI10</t>
  </si>
  <si>
    <t>ESGI11</t>
  </si>
  <si>
    <t>ESGI12</t>
  </si>
  <si>
    <t>Qui est le boss absolu ?</t>
  </si>
  <si>
    <t>Boboss</t>
  </si>
  <si>
    <t>Mahieux</t>
  </si>
  <si>
    <t>Thomas</t>
  </si>
  <si>
    <t>Fred</t>
  </si>
  <si>
    <t>Thème</t>
  </si>
  <si>
    <t>Question</t>
  </si>
  <si>
    <t>Réponse</t>
  </si>
  <si>
    <t>FRAN1</t>
  </si>
  <si>
    <t>FRAN2</t>
  </si>
  <si>
    <t>FRAN3</t>
  </si>
  <si>
    <t>FRAN4</t>
  </si>
  <si>
    <t>FRAN5</t>
  </si>
  <si>
    <t>FRAN6</t>
  </si>
  <si>
    <t>FRAN7</t>
  </si>
  <si>
    <t>FRAN8</t>
  </si>
  <si>
    <t>FRAN9</t>
  </si>
  <si>
    <t>FRAN10</t>
  </si>
  <si>
    <t>FRAN11</t>
  </si>
  <si>
    <t>FRAN12</t>
  </si>
  <si>
    <t>Combien de région y'a-t-il maintenant en France métropolitaine ?</t>
  </si>
  <si>
    <t>JADI1</t>
  </si>
  <si>
    <t>JADI2</t>
  </si>
  <si>
    <t>JADI3</t>
  </si>
  <si>
    <t>JADI4</t>
  </si>
  <si>
    <t>JADI5</t>
  </si>
  <si>
    <t>JADI6</t>
  </si>
  <si>
    <t>JADI7</t>
  </si>
  <si>
    <t>JADI8</t>
  </si>
  <si>
    <t>JADI9</t>
  </si>
  <si>
    <t>JADI10</t>
  </si>
  <si>
    <t>JADI11</t>
  </si>
  <si>
    <t>JADI12</t>
  </si>
  <si>
    <t>En quelle année Adolf Hitler sort de prison ?</t>
  </si>
  <si>
    <t>Num thème</t>
  </si>
  <si>
    <t>Points</t>
  </si>
  <si>
    <t>A la tête de quel régime se trouvait le maréchal Pétain ?</t>
  </si>
  <si>
    <t>L'Empire</t>
  </si>
  <si>
    <t>La IVè  République</t>
  </si>
  <si>
    <t>Le régime de Vichy</t>
  </si>
  <si>
    <t>Le IIIè Reich</t>
  </si>
  <si>
    <t>une centaine</t>
  </si>
  <si>
    <t>une dizaine</t>
  </si>
  <si>
    <t>On ne sait pas encore</t>
  </si>
  <si>
    <t>En quelle année a-t-on commencé à parler de la "France" ?</t>
  </si>
  <si>
    <t>A quel jeu Mr Mahieux joue avec les B1-B ?</t>
  </si>
  <si>
    <t>Civilisation VI</t>
  </si>
  <si>
    <t>Minecraft</t>
  </si>
  <si>
    <t>CS2</t>
  </si>
  <si>
    <t>Auschwitz 2025</t>
  </si>
  <si>
    <t>Qui est le meilleur Lucas ?</t>
  </si>
  <si>
    <t>Lucas</t>
  </si>
  <si>
    <t xml:space="preserve"> Comment appelle t'on la méthode consistant à relier 2 vlans d'un même réseaux via un routeur ?</t>
  </si>
  <si>
    <t>Router on stick</t>
  </si>
  <si>
    <t>Fred special</t>
  </si>
  <si>
    <t>Switching router</t>
  </si>
  <si>
    <t>Routage</t>
  </si>
  <si>
    <t>Que signifie Merise ?</t>
  </si>
  <si>
    <t>Méthode d'Etude et de Réalisation Informatique pour les Systèmes d'Entreprise</t>
  </si>
  <si>
    <t>MEthode de Regroupement des Informations par Sous-Ensemble</t>
  </si>
  <si>
    <t>Methode Elementaire de Rassemblement Interne des  Savoirs de l'Entreprise</t>
  </si>
  <si>
    <t>Rien</t>
  </si>
  <si>
    <t>Quel intervenant de l'ESGI Reims possède le plus de modules avec les B1-B ?</t>
  </si>
  <si>
    <t>Mr Leroux</t>
  </si>
  <si>
    <t>Mr Pierson</t>
  </si>
  <si>
    <t>Mr Mahieux</t>
  </si>
  <si>
    <t>Mme Carlier</t>
  </si>
  <si>
    <t>Quelle plainte Mr Mahieux a-t-il formulé à propos du campus Skolae Lille ?</t>
  </si>
  <si>
    <t>La taille des salles de classes</t>
  </si>
  <si>
    <t>La taille des couloirs</t>
  </si>
  <si>
    <t>La tailles des toillettes</t>
  </si>
  <si>
    <t>L'aura surpuissante de Thomas Pierson</t>
  </si>
  <si>
    <t>A qui l'honorable Thomas Pierson a-t-il fait une dédicace durant le live twitch de la LAN Valorant ?</t>
  </si>
  <si>
    <t>Lorem Ipsum</t>
  </si>
  <si>
    <t>Personne</t>
  </si>
  <si>
    <t>Qui Mme Stead a-t-elle croisée dans le train ?</t>
  </si>
  <si>
    <t>Pierre Grafteau</t>
  </si>
  <si>
    <t>Nicola Marhic</t>
  </si>
  <si>
    <t>Lucas Simon</t>
  </si>
  <si>
    <t>Le sublime Thomas Pierson</t>
  </si>
  <si>
    <t>A quel célèbre youtuber Thomas Pierson a-t-il fait référence durant ce même live ?</t>
  </si>
  <si>
    <t>Squeezie</t>
  </si>
  <si>
    <t>David Lafarge</t>
  </si>
  <si>
    <t>Lama Faché</t>
  </si>
  <si>
    <t>Tibo Inshape</t>
  </si>
  <si>
    <t>Comment appelle-t-on la base 5 ?</t>
  </si>
  <si>
    <t>Cinquaire</t>
  </si>
  <si>
    <t>Cinquale</t>
  </si>
  <si>
    <t>Quinaire</t>
  </si>
  <si>
    <t>Quinale</t>
  </si>
  <si>
    <t>Quel record Thomas Pierson détient-il ?</t>
  </si>
  <si>
    <t>Le plus gros "instantané"</t>
  </si>
  <si>
    <t>La plus belle musculature</t>
  </si>
  <si>
    <t>La plus grande aura</t>
  </si>
  <si>
    <t>Le boss incontesté de Linux</t>
  </si>
  <si>
    <t>Combien mesure la tour Eiffel ?</t>
  </si>
  <si>
    <t>Avec quel pays la France entretient t'elle la plus vieille alliance du monde ?</t>
  </si>
  <si>
    <t>L'angleterre</t>
  </si>
  <si>
    <t>L'Allemagne</t>
  </si>
  <si>
    <t>L'algérie</t>
  </si>
  <si>
    <t>L'écosse</t>
  </si>
  <si>
    <t>De quel village Jean Lassale vient-il ?</t>
  </si>
  <si>
    <t>Pau</t>
  </si>
  <si>
    <t>Lourdios Ichère</t>
  </si>
  <si>
    <t>Oloron Ste Marie</t>
  </si>
  <si>
    <t>Issor</t>
  </si>
  <si>
    <t>Comment se nomme l'île partagée entre la France et l'Espagne ?</t>
  </si>
  <si>
    <t>L'île des faisans</t>
  </si>
  <si>
    <t>L'île des paons</t>
  </si>
  <si>
    <t>L'île des martyrs</t>
  </si>
  <si>
    <t>L'île partagée</t>
  </si>
  <si>
    <t>Combien de pièces de théâtre Molière à-t-il écrite ?</t>
  </si>
  <si>
    <t>Combien de km de frontières au total la France possède-t-elle ?</t>
  </si>
  <si>
    <t>En quel siècle Paris est devenue Paris ?</t>
  </si>
  <si>
    <t>4ème siècle</t>
  </si>
  <si>
    <t>5ème siècle</t>
  </si>
  <si>
    <t>6ème siècle</t>
  </si>
  <si>
    <t>7ème siècle</t>
  </si>
  <si>
    <t>Quelle légende se rattache au village de Linchamps dans les Ardennes ?</t>
  </si>
  <si>
    <t>La légende de la porte des enfers</t>
  </si>
  <si>
    <t>La légende de Merlin</t>
  </si>
  <si>
    <t>La légende du Tchar Scaille</t>
  </si>
  <si>
    <t>La légende de la fileuse</t>
  </si>
  <si>
    <t>Combien de victimes à fait Michel Fourniret ?</t>
  </si>
  <si>
    <t>Thème :</t>
  </si>
  <si>
    <t>50:50</t>
  </si>
  <si>
    <t>Bonus</t>
  </si>
  <si>
    <t>Quel est le nombre associé à Miku ?</t>
  </si>
  <si>
    <t>03</t>
  </si>
  <si>
    <t>01</t>
  </si>
  <si>
    <t>24</t>
  </si>
  <si>
    <t>39</t>
  </si>
  <si>
    <t>Quel est la signification de ce nombre ?</t>
  </si>
  <si>
    <t>Sa prononciation en japonais donne son nom</t>
  </si>
  <si>
    <t>La date de sa fête</t>
  </si>
  <si>
    <t>La date de sa création</t>
  </si>
  <si>
    <t>Aucune, cela vient d'un quiproquo</t>
  </si>
  <si>
    <t>Pokémon</t>
  </si>
  <si>
    <t>Hello Kitty</t>
  </si>
  <si>
    <t>Fortnite</t>
  </si>
  <si>
    <t>EDF</t>
  </si>
  <si>
    <t>Quelle franchise  va collaboré avec Hatsune Miku sur le "Project Voltage" ?</t>
  </si>
  <si>
    <t>Quel jeu avec Hatsune Miku a été proposé sur PSP ?</t>
  </si>
  <si>
    <t>Project Voltage</t>
  </si>
  <si>
    <t>Project Sekai</t>
  </si>
  <si>
    <t>Project DIVA</t>
  </si>
  <si>
    <t>Project Mirai</t>
  </si>
  <si>
    <t>D'ailleurs, avec lequel de ces jeux improbables propose-t-il une collaboration avec Hatsune Miku ?</t>
  </si>
  <si>
    <t>Valorant</t>
  </si>
  <si>
    <t>Super Mario Galaxy</t>
  </si>
  <si>
    <t>Call Of Duty : Black ops 6</t>
  </si>
  <si>
    <t>Rocket League</t>
  </si>
  <si>
    <t>Quel est l'aliment iconique de Miku ?</t>
  </si>
  <si>
    <t>Un poireau</t>
  </si>
  <si>
    <t>Une baguette</t>
  </si>
  <si>
    <t>Un negi</t>
  </si>
  <si>
    <t>Un sandwich jambon-beurre</t>
  </si>
  <si>
    <t>Comment se nomme le japonais qui s'est marié avec Miku ?</t>
  </si>
  <si>
    <t>Satoru Iwata</t>
  </si>
  <si>
    <t>Akihiko Kondo</t>
  </si>
  <si>
    <t>Keiichiro Shibuya</t>
  </si>
  <si>
    <t>Personne, la folie humaine a tout de même ses limtes, enfin j'espère</t>
  </si>
  <si>
    <t>Comment s'appelle ce qui est considéré comme le tout premier jeu vidéo ?</t>
  </si>
  <si>
    <t>Tetris</t>
  </si>
  <si>
    <t>Pong</t>
  </si>
  <si>
    <t>Tennis for Two</t>
  </si>
  <si>
    <t>Space Invaders</t>
  </si>
  <si>
    <t>En quelle année a-t-il été créé ?</t>
  </si>
  <si>
    <t>1953</t>
  </si>
  <si>
    <t>1958</t>
  </si>
  <si>
    <t>1969</t>
  </si>
  <si>
    <t>Combien de personne sont mortes à Oradour-sur-Glane le 10 juin 1944 ?</t>
  </si>
  <si>
    <t>486</t>
  </si>
  <si>
    <t>666</t>
  </si>
  <si>
    <t>724</t>
  </si>
  <si>
    <t>Quand a été inauguré le camp d'Auschwitz-Birkenau ?</t>
  </si>
  <si>
    <t>8 octobre 1941</t>
  </si>
  <si>
    <t>20 mai 1940</t>
  </si>
  <si>
    <t>1 septembre 1939</t>
  </si>
  <si>
    <t>17 juillet 1942</t>
  </si>
  <si>
    <t>Quand est-ce que Jules César a été assassiné ?</t>
  </si>
  <si>
    <t>15 mars -44</t>
  </si>
  <si>
    <t>23 mars -44</t>
  </si>
  <si>
    <t>15 mars 44</t>
  </si>
  <si>
    <t>23 mars 44</t>
  </si>
  <si>
    <t>Combien de coups de couteaux Jules César a-t-il reçu lors de son assassinat ?</t>
  </si>
  <si>
    <t>Combien d'année a duré la Guerre de Cent Ans ?</t>
  </si>
  <si>
    <t>99 ans</t>
  </si>
  <si>
    <t>100 ans</t>
  </si>
  <si>
    <t>116 ans</t>
  </si>
  <si>
    <t>107 ans</t>
  </si>
  <si>
    <t>Au cours de la Seconde Guerre mondiale, où se trouvait le seul des 2 ports préfabriqués ayant résisté à la tempête du 19 juin 1944 ?</t>
  </si>
  <si>
    <t>Dunkerque</t>
  </si>
  <si>
    <t>Arromanches</t>
  </si>
  <si>
    <t>Cherbourg</t>
  </si>
  <si>
    <t>Vierville-sur-Mer</t>
  </si>
  <si>
    <t>Comment s'appelle l'un des squelettes d'Australopithèque relativement complet ?</t>
  </si>
  <si>
    <t>Pierre</t>
  </si>
  <si>
    <t>Le Blond</t>
  </si>
  <si>
    <t>Lucy</t>
  </si>
  <si>
    <t>Rebecca</t>
  </si>
  <si>
    <t>Comment s'appelle le seigneur chinois s'étant enterré avec une armée de terre cuite ?</t>
  </si>
  <si>
    <t>Mao Xedong</t>
  </si>
  <si>
    <t>Xi Jinping</t>
  </si>
  <si>
    <t>Qui Shi Huang</t>
  </si>
  <si>
    <t>Qianlong</t>
  </si>
  <si>
    <t>Où est né Joseph Staline ?</t>
  </si>
  <si>
    <t>Gori</t>
  </si>
  <si>
    <t>Moscou</t>
  </si>
  <si>
    <t>Stalingrad</t>
  </si>
  <si>
    <t>Gomi</t>
  </si>
  <si>
    <t>MALSAINE</t>
  </si>
  <si>
    <t>Tu te fous de moi ? C'est Pikachu.</t>
  </si>
  <si>
    <t>Oh la vache sa date ça. Il me semble que ça commence par bourg.</t>
  </si>
  <si>
    <t>Qui est le connard qui à foutu Allah ici hahaha ?</t>
  </si>
  <si>
    <t>Mec je ne regarde pas Pokémon j'en sais rien.</t>
  </si>
  <si>
    <t>La 4g ? C'est pas sur DS ton truc ?</t>
  </si>
  <si>
    <t>C'est l'un des derniers qui est sorti mongol.</t>
  </si>
  <si>
    <t>J'en sais rien mais il me semble que ce n'est pas Pikachu.</t>
  </si>
  <si>
    <t>Kalos ? Paldéa ? Galar ? A l'époque c'était Kanto mon reuf.</t>
  </si>
  <si>
    <t>J'hésite entre les 2 premiers.</t>
  </si>
  <si>
    <t>Houla je ne le connais pas celui-là. Déso j'ai pas la ref.</t>
  </si>
  <si>
    <t>Je connais que le prof Chen et je peux te dire qu'il ne faisait pas de tout ça.</t>
  </si>
  <si>
    <t>Mon reuf je le connais pas ton guguss là.</t>
  </si>
  <si>
    <t>Thomson</t>
  </si>
  <si>
    <t>C'est pas Vocaloïd ?</t>
  </si>
  <si>
    <t>Qu'est-ce qu'elle fait là Mme. Carlier ?</t>
  </si>
  <si>
    <t>J'aurais dis le 31…</t>
  </si>
  <si>
    <t>Euh là j'en sais rien. La 3ème elle à un nom différent des fois …</t>
  </si>
  <si>
    <t>Vu que c'est japonais ton truc, c'est pas un truc japonais aussi ?</t>
  </si>
  <si>
    <t>J'en connais aucune mon reuf mais le premier ça sonne comme une démo</t>
  </si>
  <si>
    <t>Il me semble que le premier c'est écris sur son bras.</t>
  </si>
  <si>
    <t>Je parle pas japonais mais ça me parait être un choix logique</t>
  </si>
  <si>
    <t>Voltage ? Ca me fait penser un peu à Pikachu.</t>
  </si>
  <si>
    <t>Aucune idée mon reuf mais je ne pense pas que ce soit la 1ère.</t>
  </si>
  <si>
    <t>J'ai checké pendant la Lan et y'a rien sur Valo.</t>
  </si>
  <si>
    <t>Oh putain cette histoire ça me dit quelque chose, malheureusement l'humain est fou XD.</t>
  </si>
  <si>
    <t>C'est moi, y'a pas de doute.</t>
  </si>
  <si>
    <t>Qu'est-ce qu'il m'ont fait chier avec le serveur minecraft ceux-là.</t>
  </si>
  <si>
    <t>Pourquoi tu hésites chef ? C'est moi le goat !</t>
  </si>
  <si>
    <t>C'est Router on stick. Garre à Fred la prochaine fois !</t>
  </si>
  <si>
    <t>Mais tu écoutes en cours ou quoi ? Ca ne veut rien dire.</t>
  </si>
  <si>
    <t>Si je me souviens de leur emplois du temps c'est Mahieux.</t>
  </si>
  <si>
    <t>J'étais pas là quand il l'a dit mon reuf. Et il faut arrêter avec moi un jour.</t>
  </si>
  <si>
    <t>BOOM BOBOSS !</t>
  </si>
  <si>
    <t>BOOM !</t>
  </si>
  <si>
    <t>C'est quinaire. Va relire ton cours.</t>
  </si>
  <si>
    <t>Euh je n'étais pas là et il ne me semble pas l'avoir croisé.</t>
  </si>
  <si>
    <t>Oh putain tu me rapelles de mauvais souvenirs là.</t>
  </si>
  <si>
    <t>Je ne connais pas la carte par cœur mon reuf.</t>
  </si>
  <si>
    <t>T'es débile ou quoi ? C'est Vichy.</t>
  </si>
  <si>
    <t>Jsp</t>
  </si>
  <si>
    <t>C'est pas nouveau il me semble, certainement avec les premiers rois.</t>
  </si>
  <si>
    <t>J'ai pas mesuré.</t>
  </si>
  <si>
    <t>Il me semble que c'est un pays du Royaume-Uni.</t>
  </si>
  <si>
    <t>Je ne pense pas que ce soit la dernière.</t>
  </si>
  <si>
    <t>Je suis le boss de Linux, pas du théâtre.</t>
  </si>
  <si>
    <t>Certainement pas longtemps après la chute de l'empire romain.</t>
  </si>
  <si>
    <t>Avec tous les territoires d'outre-mer y'en a un sacré paquet.</t>
  </si>
  <si>
    <t>J'en sais rien mon reuf. Au hasard la C ?</t>
  </si>
  <si>
    <t>Mais qu'est-ce que j'en sais XD ! Je suis pas un fanatique de Jean !</t>
  </si>
  <si>
    <t>Je suis pas historien mais ça doit être Lucy.</t>
  </si>
  <si>
    <t>Mao Xedong et Xi Jinping XD</t>
  </si>
  <si>
    <t>C'est pas 1933 vu qu'il a été élu chancelier.</t>
  </si>
  <si>
    <t>Certainement Tennis for two.</t>
  </si>
  <si>
    <t>Dans les années 50 mais quand précisément ?</t>
  </si>
  <si>
    <t>Tu peux être sûr que c'est pas la réponse C XD.</t>
  </si>
  <si>
    <t>Si je ne dis pas de bêtises c'est vers le milieu de la guerre.</t>
  </si>
  <si>
    <t>La 1ère ? Je suis pas historien mon reuf.</t>
  </si>
  <si>
    <t>Ca remonte à longtemps mes cours d'histoires.</t>
  </si>
  <si>
    <t>Pas 100ans.</t>
  </si>
  <si>
    <t>Euh joker.</t>
  </si>
  <si>
    <t>Il est pas né en Géorgie lui ?</t>
  </si>
  <si>
    <t>Don't worry. Thomson te surveille.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</si>
</sst>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Aptos Narrow"/>
      <family val="2"/>
      <scheme val="minor"/>
    </font>
    <font>
      <sz val="11"/>
      <color theme="5" tint="0.39997558519241921"/>
      <name val="Aptos Narrow"/>
      <family val="2"/>
      <scheme val="minor"/>
    </font>
    <font>
      <sz val="8"/>
      <name val="Aptos Narrow"/>
      <family val="2"/>
      <scheme val="minor"/>
    </font>
    <font>
      <sz val="10"/>
      <color theme="1"/>
      <name val="Aptos Narrow"/>
      <family val="2"/>
    </font>
    <font>
      <sz val="10"/>
      <color theme="1"/>
      <name val="Aptos Narrow"/>
      <family val="2"/>
      <scheme val="minor"/>
    </font>
    <font>
      <sz val="11"/>
      <color rgb="FFFF9900"/>
      <name val="Aptos Narrow"/>
      <family val="2"/>
      <scheme val="minor"/>
    </font>
    <font>
      <b/>
      <sz val="12"/>
      <color rgb="FFFF6600"/>
      <name val="Biome"/>
      <family val="2"/>
    </font>
    <font>
      <sz val="12"/>
      <color rgb="FFFF6600"/>
      <name val="Biome"/>
      <family val="2"/>
    </font>
    <font>
      <sz val="11"/>
      <color theme="5" tint="0.59999389629810485"/>
      <name val="Aptos Narrow"/>
      <family val="2"/>
      <scheme val="minor"/>
    </font>
    <font>
      <b/>
      <sz val="11"/>
      <color rgb="FFFF6600"/>
      <name val="Biome"/>
      <family val="2"/>
    </font>
    <font>
      <b/>
      <sz val="11"/>
      <color rgb="FFFF9900"/>
      <name val="Aptos Narrow"/>
      <family val="2"/>
      <scheme val="minor"/>
    </font>
    <font>
      <b/>
      <sz val="10"/>
      <color indexed="53"/>
      <name val="Biome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13">
    <fill>
      <patternFill patternType="none"/>
    </fill>
    <fill>
      <patternFill patternType="gray125"/>
    </fill>
    <fill>
      <patternFill patternType="solid">
        <fgColor theme="3" tint="9.9978637043366805E-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249977111117893"/>
        <bgColor indexed="64"/>
      </patternFill>
    </fill>
    <fill>
      <patternFill patternType="solid">
        <fgColor rgb="FF4D93D9"/>
        <bgColor indexed="64"/>
      </patternFill>
    </fill>
  </fills>
  <borders count="43">
    <border>
      <left/>
      <right/>
      <top/>
      <bottom/>
      <diagonal/>
    </border>
    <border>
      <left style="medium">
        <color theme="5"/>
      </left>
      <right/>
      <top style="medium">
        <color theme="5"/>
      </top>
      <bottom/>
      <diagonal/>
    </border>
    <border>
      <left/>
      <right/>
      <top style="medium">
        <color theme="5"/>
      </top>
      <bottom/>
      <diagonal/>
    </border>
    <border>
      <left/>
      <right style="medium">
        <color theme="5"/>
      </right>
      <top style="medium">
        <color theme="5"/>
      </top>
      <bottom/>
      <diagonal/>
    </border>
    <border>
      <left style="medium">
        <color theme="5"/>
      </left>
      <right/>
      <top/>
      <bottom/>
      <diagonal/>
    </border>
    <border>
      <left/>
      <right style="medium">
        <color theme="5"/>
      </right>
      <top/>
      <bottom/>
      <diagonal/>
    </border>
    <border>
      <left style="medium">
        <color theme="5"/>
      </left>
      <right/>
      <top/>
      <bottom style="medium">
        <color theme="5"/>
      </bottom>
      <diagonal/>
    </border>
    <border>
      <left/>
      <right/>
      <top/>
      <bottom style="medium">
        <color theme="5"/>
      </bottom>
      <diagonal/>
    </border>
    <border>
      <left/>
      <right style="medium">
        <color theme="5"/>
      </right>
      <top/>
      <bottom style="medium">
        <color theme="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theme="5" tint="-0.249977111117893"/>
      </left>
      <right/>
      <top style="double">
        <color theme="5" tint="-0.249977111117893"/>
      </top>
      <bottom/>
      <diagonal/>
    </border>
    <border>
      <left/>
      <right/>
      <top style="double">
        <color theme="5" tint="-0.249977111117893"/>
      </top>
      <bottom/>
      <diagonal/>
    </border>
    <border>
      <left/>
      <right style="double">
        <color theme="5" tint="-0.249977111117893"/>
      </right>
      <top style="double">
        <color theme="5" tint="-0.249977111117893"/>
      </top>
      <bottom/>
      <diagonal/>
    </border>
    <border>
      <left style="double">
        <color theme="5" tint="-0.249977111117893"/>
      </left>
      <right/>
      <top/>
      <bottom/>
      <diagonal/>
    </border>
    <border>
      <left/>
      <right style="double">
        <color theme="5" tint="-0.249977111117893"/>
      </right>
      <top/>
      <bottom/>
      <diagonal/>
    </border>
    <border>
      <left style="double">
        <color theme="5" tint="-0.249977111117893"/>
      </left>
      <right/>
      <top/>
      <bottom style="double">
        <color theme="5" tint="-0.249977111117893"/>
      </bottom>
      <diagonal/>
    </border>
    <border>
      <left/>
      <right/>
      <top/>
      <bottom style="double">
        <color theme="5" tint="-0.249977111117893"/>
      </bottom>
      <diagonal/>
    </border>
    <border>
      <left/>
      <right style="double">
        <color theme="5" tint="-0.249977111117893"/>
      </right>
      <top/>
      <bottom style="double">
        <color theme="5" tint="-0.249977111117893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double">
        <color rgb="FFFF9900"/>
      </left>
      <right style="double">
        <color rgb="FFFF9900"/>
      </right>
      <top style="double">
        <color rgb="FFFF9900"/>
      </top>
      <bottom/>
      <diagonal/>
    </border>
    <border>
      <left/>
      <right style="double">
        <color rgb="FFFF9900"/>
      </right>
      <top style="double">
        <color rgb="FFFF9900"/>
      </top>
      <bottom/>
      <diagonal/>
    </border>
    <border>
      <left style="double">
        <color rgb="FFFF9900"/>
      </left>
      <right/>
      <top/>
      <bottom/>
      <diagonal/>
    </border>
    <border>
      <left/>
      <right style="double">
        <color rgb="FFFF9900"/>
      </right>
      <top/>
      <bottom/>
      <diagonal/>
    </border>
    <border>
      <left style="double">
        <color rgb="FFFF9900"/>
      </left>
      <right/>
      <top/>
      <bottom style="double">
        <color rgb="FFFF9900"/>
      </bottom>
      <diagonal/>
    </border>
    <border>
      <left/>
      <right style="double">
        <color rgb="FFFF9900"/>
      </right>
      <top/>
      <bottom style="double">
        <color rgb="FFFF9900"/>
      </bottom>
      <diagonal/>
    </border>
    <border>
      <left style="double">
        <color rgb="FFFF9900"/>
      </left>
      <right/>
      <top style="double">
        <color rgb="FFFF9900"/>
      </top>
      <bottom/>
      <diagonal/>
    </border>
    <border>
      <left/>
      <right/>
      <top style="double">
        <color rgb="FFFF9900"/>
      </top>
      <bottom/>
      <diagonal/>
    </border>
    <border>
      <left/>
      <right/>
      <top/>
      <bottom style="double">
        <color rgb="FFFF9900"/>
      </bottom>
      <diagonal/>
    </border>
    <border>
      <left style="double">
        <color rgb="FFFF9900"/>
      </left>
      <right/>
      <top style="double">
        <color rgb="FFFF9900"/>
      </top>
      <bottom style="double">
        <color rgb="FFFF9900"/>
      </bottom>
      <diagonal/>
    </border>
    <border>
      <left/>
      <right/>
      <top style="double">
        <color rgb="FFFF9900"/>
      </top>
      <bottom style="double">
        <color rgb="FFFF9900"/>
      </bottom>
      <diagonal/>
    </border>
    <border>
      <left/>
      <right style="double">
        <color rgb="FFFF9900"/>
      </right>
      <top style="double">
        <color rgb="FFFF9900"/>
      </top>
      <bottom style="double">
        <color rgb="FFFF9900"/>
      </bottom>
      <diagonal/>
    </border>
  </borders>
  <cellStyleXfs count="1">
    <xf numFmtId="0" fontId="0" fillId="0" borderId="0"/>
  </cellStyleXfs>
  <cellXfs count="106">
    <xf numFmtId="0" fontId="0" fillId="0" borderId="0" xfId="0"/>
    <xf numFmtId="0" fontId="0" fillId="2" borderId="0" xfId="0" applyFill="1"/>
    <xf numFmtId="0" fontId="0" fillId="5" borderId="0" xfId="0" applyFill="1"/>
    <xf numFmtId="0" fontId="0" fillId="6" borderId="0" xfId="0" applyFill="1" applyAlignment="1">
      <alignment horizontal="center"/>
    </xf>
    <xf numFmtId="0" fontId="0" fillId="7" borderId="9" xfId="0" applyFill="1" applyBorder="1"/>
    <xf numFmtId="0" fontId="0" fillId="7" borderId="11" xfId="0" applyFill="1" applyBorder="1"/>
    <xf numFmtId="0" fontId="0" fillId="7" borderId="10" xfId="0" applyFill="1" applyBorder="1"/>
    <xf numFmtId="0" fontId="0" fillId="7" borderId="13" xfId="0" applyFill="1" applyBorder="1"/>
    <xf numFmtId="0" fontId="0" fillId="7" borderId="14" xfId="0" applyFill="1" applyBorder="1"/>
    <xf numFmtId="0" fontId="0" fillId="7" borderId="12" xfId="0" applyFill="1" applyBorder="1"/>
    <xf numFmtId="0" fontId="0" fillId="6" borderId="0" xfId="0" applyFill="1"/>
    <xf numFmtId="0" fontId="0" fillId="7" borderId="15" xfId="0" applyFill="1" applyBorder="1" applyAlignment="1">
      <alignment horizontal="center"/>
    </xf>
    <xf numFmtId="0" fontId="0" fillId="7" borderId="9" xfId="0" applyFill="1" applyBorder="1" applyAlignment="1">
      <alignment horizontal="center"/>
    </xf>
    <xf numFmtId="0" fontId="0" fillId="7" borderId="16" xfId="0" applyFill="1" applyBorder="1" applyAlignment="1">
      <alignment horizontal="center"/>
    </xf>
    <xf numFmtId="0" fontId="0" fillId="7" borderId="10" xfId="0" applyFill="1" applyBorder="1" applyAlignment="1">
      <alignment horizontal="center"/>
    </xf>
    <xf numFmtId="0" fontId="5" fillId="3" borderId="17" xfId="0" applyFont="1" applyFill="1" applyBorder="1" applyAlignment="1">
      <alignment horizontal="center"/>
    </xf>
    <xf numFmtId="0" fontId="5" fillId="3" borderId="18" xfId="0" applyFont="1" applyFill="1" applyBorder="1" applyAlignment="1">
      <alignment horizontal="center"/>
    </xf>
    <xf numFmtId="0" fontId="5" fillId="3" borderId="19" xfId="0" applyFont="1" applyFill="1" applyBorder="1" applyAlignment="1">
      <alignment horizontal="center"/>
    </xf>
    <xf numFmtId="0" fontId="5" fillId="3" borderId="20" xfId="0" applyFont="1" applyFill="1" applyBorder="1" applyAlignment="1">
      <alignment horizontal="center"/>
    </xf>
    <xf numFmtId="0" fontId="5" fillId="3" borderId="0" xfId="0" applyFont="1" applyFill="1" applyAlignment="1">
      <alignment horizontal="center"/>
    </xf>
    <xf numFmtId="0" fontId="5" fillId="3" borderId="21" xfId="0" applyFont="1" applyFill="1" applyBorder="1" applyAlignment="1">
      <alignment horizontal="center"/>
    </xf>
    <xf numFmtId="0" fontId="5" fillId="3" borderId="22" xfId="0" applyFont="1" applyFill="1" applyBorder="1" applyAlignment="1">
      <alignment horizontal="center"/>
    </xf>
    <xf numFmtId="0" fontId="5" fillId="3" borderId="23" xfId="0" applyFont="1" applyFill="1" applyBorder="1" applyAlignment="1">
      <alignment horizontal="center"/>
    </xf>
    <xf numFmtId="0" fontId="5" fillId="3" borderId="24" xfId="0" applyFont="1" applyFill="1" applyBorder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left"/>
    </xf>
    <xf numFmtId="0" fontId="0" fillId="7" borderId="0" xfId="0" applyFill="1" applyAlignment="1">
      <alignment horizontal="left" wrapText="1"/>
    </xf>
    <xf numFmtId="0" fontId="3" fillId="7" borderId="0" xfId="0" applyFont="1" applyFill="1"/>
    <xf numFmtId="49" fontId="0" fillId="7" borderId="0" xfId="0" applyNumberFormat="1" applyFill="1"/>
    <xf numFmtId="0" fontId="4" fillId="7" borderId="0" xfId="0" applyFont="1" applyFill="1"/>
    <xf numFmtId="0" fontId="0" fillId="7" borderId="0" xfId="0" applyFill="1" applyAlignment="1">
      <alignment wrapText="1"/>
    </xf>
    <xf numFmtId="0" fontId="0" fillId="0" borderId="0" xfId="0" applyAlignment="1">
      <alignment wrapText="1"/>
    </xf>
    <xf numFmtId="20" fontId="0" fillId="7" borderId="0" xfId="0" applyNumberFormat="1" applyFill="1" applyAlignment="1">
      <alignment horizontal="left" wrapText="1"/>
    </xf>
    <xf numFmtId="0" fontId="0" fillId="6" borderId="15" xfId="0" applyFill="1" applyBorder="1"/>
    <xf numFmtId="0" fontId="0" fillId="6" borderId="25" xfId="0" applyFill="1" applyBorder="1"/>
    <xf numFmtId="0" fontId="0" fillId="6" borderId="11" xfId="0" applyFill="1" applyBorder="1"/>
    <xf numFmtId="0" fontId="0" fillId="6" borderId="26" xfId="0" applyFill="1" applyBorder="1"/>
    <xf numFmtId="0" fontId="0" fillId="6" borderId="12" xfId="0" applyFill="1" applyBorder="1"/>
    <xf numFmtId="0" fontId="0" fillId="8" borderId="29" xfId="0" applyFill="1" applyBorder="1"/>
    <xf numFmtId="0" fontId="0" fillId="8" borderId="28" xfId="0" applyFill="1" applyBorder="1"/>
    <xf numFmtId="0" fontId="0" fillId="7" borderId="25" xfId="0" applyFill="1" applyBorder="1" applyAlignment="1">
      <alignment horizontal="center"/>
    </xf>
    <xf numFmtId="0" fontId="0" fillId="7" borderId="27" xfId="0" applyFill="1" applyBorder="1" applyAlignment="1">
      <alignment horizontal="center"/>
    </xf>
    <xf numFmtId="0" fontId="0" fillId="8" borderId="27" xfId="0" applyFill="1" applyBorder="1"/>
    <xf numFmtId="0" fontId="0" fillId="6" borderId="27" xfId="0" applyFill="1" applyBorder="1"/>
    <xf numFmtId="0" fontId="8" fillId="3" borderId="19" xfId="0" applyFont="1" applyFill="1" applyBorder="1"/>
    <xf numFmtId="0" fontId="8" fillId="3" borderId="17" xfId="0" applyFont="1" applyFill="1" applyBorder="1" applyAlignment="1">
      <alignment horizontal="right"/>
    </xf>
    <xf numFmtId="49" fontId="0" fillId="9" borderId="0" xfId="0" applyNumberFormat="1" applyFill="1"/>
    <xf numFmtId="49" fontId="0" fillId="8" borderId="0" xfId="0" applyNumberFormat="1" applyFill="1" applyAlignment="1">
      <alignment horizontal="center"/>
    </xf>
    <xf numFmtId="0" fontId="8" fillId="3" borderId="31" xfId="0" applyFont="1" applyFill="1" applyBorder="1" applyAlignment="1">
      <alignment horizontal="left"/>
    </xf>
    <xf numFmtId="0" fontId="0" fillId="4" borderId="1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0" xfId="0" applyFill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8" xfId="0" applyFill="1" applyBorder="1" applyAlignment="1">
      <alignment horizontal="center"/>
    </xf>
    <xf numFmtId="0" fontId="0" fillId="3" borderId="33" xfId="0" applyFill="1" applyBorder="1" applyAlignment="1">
      <alignment horizontal="center"/>
    </xf>
    <xf numFmtId="0" fontId="0" fillId="3" borderId="35" xfId="0" applyFill="1" applyBorder="1" applyAlignment="1">
      <alignment horizontal="center"/>
    </xf>
    <xf numFmtId="0" fontId="8" fillId="3" borderId="32" xfId="0" applyFont="1" applyFill="1" applyBorder="1" applyAlignment="1">
      <alignment horizontal="center" vertical="center"/>
    </xf>
    <xf numFmtId="0" fontId="0" fillId="3" borderId="34" xfId="0" applyFill="1" applyBorder="1" applyAlignment="1">
      <alignment horizontal="center" vertical="center"/>
    </xf>
    <xf numFmtId="0" fontId="1" fillId="3" borderId="17" xfId="0" applyFont="1" applyFill="1" applyBorder="1" applyAlignment="1">
      <alignment horizontal="center" vertical="center" wrapText="1"/>
    </xf>
    <xf numFmtId="0" fontId="1" fillId="3" borderId="18" xfId="0" applyFont="1" applyFill="1" applyBorder="1" applyAlignment="1">
      <alignment horizontal="center" vertical="center" wrapText="1"/>
    </xf>
    <xf numFmtId="0" fontId="1" fillId="3" borderId="19" xfId="0" applyFont="1" applyFill="1" applyBorder="1" applyAlignment="1">
      <alignment horizontal="center" vertical="center" wrapText="1"/>
    </xf>
    <xf numFmtId="0" fontId="1" fillId="3" borderId="20" xfId="0" applyFont="1" applyFill="1" applyBorder="1" applyAlignment="1">
      <alignment horizontal="center" vertical="center" wrapText="1"/>
    </xf>
    <xf numFmtId="0" fontId="1" fillId="3" borderId="0" xfId="0" applyFont="1" applyFill="1" applyAlignment="1">
      <alignment horizontal="center" vertical="center" wrapText="1"/>
    </xf>
    <xf numFmtId="0" fontId="1" fillId="3" borderId="21" xfId="0" applyFont="1" applyFill="1" applyBorder="1" applyAlignment="1">
      <alignment horizontal="center" vertical="center" wrapText="1"/>
    </xf>
    <xf numFmtId="0" fontId="1" fillId="3" borderId="22" xfId="0" applyFont="1" applyFill="1" applyBorder="1" applyAlignment="1">
      <alignment horizontal="center" vertical="center" wrapText="1"/>
    </xf>
    <xf numFmtId="0" fontId="1" fillId="3" borderId="23" xfId="0" applyFont="1" applyFill="1" applyBorder="1" applyAlignment="1">
      <alignment horizontal="center" vertical="center" wrapText="1"/>
    </xf>
    <xf numFmtId="0" fontId="1" fillId="3" borderId="24" xfId="0" applyFont="1" applyFill="1" applyBorder="1" applyAlignment="1">
      <alignment horizontal="center" vertical="center" wrapText="1"/>
    </xf>
    <xf numFmtId="0" fontId="0" fillId="4" borderId="38" xfId="0" applyFill="1" applyBorder="1" applyAlignment="1">
      <alignment horizontal="center"/>
    </xf>
    <xf numFmtId="0" fontId="0" fillId="4" borderId="37" xfId="0" applyFill="1" applyBorder="1" applyAlignment="1">
      <alignment horizontal="center"/>
    </xf>
    <xf numFmtId="0" fontId="0" fillId="4" borderId="32" xfId="0" applyFill="1" applyBorder="1" applyAlignment="1">
      <alignment horizontal="center"/>
    </xf>
    <xf numFmtId="0" fontId="0" fillId="4" borderId="33" xfId="0" applyFill="1" applyBorder="1" applyAlignment="1">
      <alignment horizontal="center"/>
    </xf>
    <xf numFmtId="0" fontId="0" fillId="4" borderId="0" xfId="0" applyFill="1" applyBorder="1" applyAlignment="1">
      <alignment horizontal="center"/>
    </xf>
    <xf numFmtId="0" fontId="0" fillId="4" borderId="34" xfId="0" applyFill="1" applyBorder="1" applyAlignment="1">
      <alignment horizontal="center"/>
    </xf>
    <xf numFmtId="0" fontId="0" fillId="4" borderId="35" xfId="0" applyFill="1" applyBorder="1" applyAlignment="1">
      <alignment horizontal="center"/>
    </xf>
    <xf numFmtId="0" fontId="0" fillId="4" borderId="39" xfId="0" applyFill="1" applyBorder="1" applyAlignment="1">
      <alignment horizontal="center"/>
    </xf>
    <xf numFmtId="0" fontId="0" fillId="4" borderId="36" xfId="0" applyFill="1" applyBorder="1" applyAlignment="1">
      <alignment horizontal="center"/>
    </xf>
    <xf numFmtId="0" fontId="0" fillId="11" borderId="41" xfId="0" applyFill="1" applyBorder="1" applyAlignment="1">
      <alignment horizontal="center"/>
    </xf>
    <xf numFmtId="0" fontId="0" fillId="11" borderId="42" xfId="0" applyFill="1" applyBorder="1" applyAlignment="1">
      <alignment horizontal="center"/>
    </xf>
    <xf numFmtId="0" fontId="10" fillId="11" borderId="40" xfId="0" applyFont="1" applyFill="1" applyBorder="1" applyAlignment="1">
      <alignment horizontal="center"/>
    </xf>
    <xf numFmtId="0" fontId="8" fillId="3" borderId="34" xfId="0" applyFont="1" applyFill="1" applyBorder="1" applyAlignment="1">
      <alignment horizontal="center" vertical="center"/>
    </xf>
    <xf numFmtId="0" fontId="8" fillId="3" borderId="36" xfId="0" applyFont="1" applyFill="1" applyBorder="1" applyAlignment="1">
      <alignment horizontal="center" vertical="center"/>
    </xf>
    <xf numFmtId="0" fontId="0" fillId="10" borderId="37" xfId="0" applyFill="1" applyBorder="1" applyAlignment="1">
      <alignment horizontal="center" vertical="center" wrapText="1"/>
    </xf>
    <xf numFmtId="0" fontId="0" fillId="10" borderId="38" xfId="0" applyFill="1" applyBorder="1" applyAlignment="1">
      <alignment horizontal="center" vertical="center" wrapText="1"/>
    </xf>
    <xf numFmtId="0" fontId="0" fillId="10" borderId="32" xfId="0" applyFill="1" applyBorder="1" applyAlignment="1">
      <alignment horizontal="center" vertical="center" wrapText="1"/>
    </xf>
    <xf numFmtId="0" fontId="0" fillId="10" borderId="35" xfId="0" applyFill="1" applyBorder="1" applyAlignment="1">
      <alignment horizontal="center" vertical="center" wrapText="1"/>
    </xf>
    <xf numFmtId="0" fontId="0" fillId="10" borderId="39" xfId="0" applyFill="1" applyBorder="1" applyAlignment="1">
      <alignment horizontal="center" vertical="center" wrapText="1"/>
    </xf>
    <xf numFmtId="0" fontId="0" fillId="10" borderId="36" xfId="0" applyFill="1" applyBorder="1" applyAlignment="1">
      <alignment horizontal="center" vertical="center" wrapText="1"/>
    </xf>
    <xf numFmtId="0" fontId="4" fillId="4" borderId="2" xfId="0" applyFont="1" applyFill="1" applyBorder="1" applyAlignment="1">
      <alignment horizontal="center" vertical="center" wrapText="1"/>
    </xf>
    <xf numFmtId="0" fontId="4" fillId="4" borderId="3" xfId="0" applyFont="1" applyFill="1" applyBorder="1" applyAlignment="1">
      <alignment horizontal="center" vertical="center" wrapText="1"/>
    </xf>
    <xf numFmtId="0" fontId="4" fillId="4" borderId="6" xfId="0" applyFont="1" applyFill="1" applyBorder="1" applyAlignment="1">
      <alignment horizontal="center" vertical="center" wrapText="1"/>
    </xf>
    <xf numFmtId="0" fontId="4" fillId="4" borderId="7" xfId="0" applyFont="1" applyFill="1" applyBorder="1" applyAlignment="1">
      <alignment horizontal="center" vertical="center" wrapText="1"/>
    </xf>
    <xf numFmtId="0" fontId="4" fillId="4" borderId="8" xfId="0" applyFont="1" applyFill="1" applyBorder="1" applyAlignment="1">
      <alignment horizontal="center" vertical="center" wrapText="1"/>
    </xf>
    <xf numFmtId="0" fontId="4" fillId="2" borderId="0" xfId="0" applyFont="1" applyFill="1"/>
    <xf numFmtId="0" fontId="4" fillId="12" borderId="1" xfId="0" applyFont="1" applyFill="1" applyBorder="1" applyAlignment="1">
      <alignment horizontal="center" vertical="center" wrapText="1"/>
    </xf>
    <xf numFmtId="0" fontId="4" fillId="12" borderId="2" xfId="0" applyFont="1" applyFill="1" applyBorder="1" applyAlignment="1">
      <alignment horizontal="center" vertical="center" wrapText="1"/>
    </xf>
    <xf numFmtId="0" fontId="4" fillId="12" borderId="3" xfId="0" applyFont="1" applyFill="1" applyBorder="1" applyAlignment="1">
      <alignment horizontal="center" vertical="center" wrapText="1"/>
    </xf>
    <xf numFmtId="0" fontId="4" fillId="12" borderId="6" xfId="0" applyFont="1" applyFill="1" applyBorder="1" applyAlignment="1">
      <alignment horizontal="center" vertical="center" wrapText="1"/>
    </xf>
    <xf numFmtId="0" fontId="4" fillId="12" borderId="7" xfId="0" applyFont="1" applyFill="1" applyBorder="1" applyAlignment="1">
      <alignment horizontal="center" vertical="center" wrapText="1"/>
    </xf>
    <xf numFmtId="0" fontId="4" fillId="12" borderId="8" xfId="0" applyFont="1" applyFill="1" applyBorder="1" applyAlignment="1">
      <alignment horizontal="center" vertical="center" wrapText="1"/>
    </xf>
    <xf numFmtId="0" fontId="0" fillId="0" borderId="0" xfId="0" applyBorder="1"/>
    <xf numFmtId="0" fontId="0" fillId="7" borderId="30" xfId="0" applyFill="1" applyBorder="1"/>
    <xf numFmtId="0" fontId="0" fillId="6" borderId="0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4D93D9"/>
      <color rgb="FFFF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22/10/relationships/richValueRel" Target="richData/richValueRel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83820</xdr:rowOff>
        </xdr:from>
        <xdr:to>
          <xdr:col>1</xdr:col>
          <xdr:colOff>624840</xdr:colOff>
          <xdr:row>2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FF6600"/>
                  </a:solidFill>
                  <a:latin typeface="Biome"/>
                  <a:cs typeface="Biome"/>
                </a:rPr>
                <a:t>Démarrer le jeu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60960</xdr:colOff>
          <xdr:row>16</xdr:row>
          <xdr:rowOff>60960</xdr:rowOff>
        </xdr:from>
        <xdr:to>
          <xdr:col>6</xdr:col>
          <xdr:colOff>739140</xdr:colOff>
          <xdr:row>19</xdr:row>
          <xdr:rowOff>114300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FF6600"/>
                  </a:solidFill>
                  <a:latin typeface="Biome"/>
                  <a:cs typeface="Biome"/>
                </a:rPr>
                <a:t>Réponse 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53340</xdr:colOff>
          <xdr:row>16</xdr:row>
          <xdr:rowOff>60960</xdr:rowOff>
        </xdr:from>
        <xdr:to>
          <xdr:col>9</xdr:col>
          <xdr:colOff>731520</xdr:colOff>
          <xdr:row>19</xdr:row>
          <xdr:rowOff>114300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FF6600"/>
                  </a:solidFill>
                  <a:latin typeface="Biome"/>
                  <a:cs typeface="Biome"/>
                </a:rPr>
                <a:t>Réponse 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60960</xdr:colOff>
          <xdr:row>20</xdr:row>
          <xdr:rowOff>60960</xdr:rowOff>
        </xdr:from>
        <xdr:to>
          <xdr:col>6</xdr:col>
          <xdr:colOff>739140</xdr:colOff>
          <xdr:row>23</xdr:row>
          <xdr:rowOff>114300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FF6600"/>
                  </a:solidFill>
                  <a:latin typeface="Biome"/>
                  <a:cs typeface="Biome"/>
                </a:rPr>
                <a:t>Réponse 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60960</xdr:colOff>
          <xdr:row>20</xdr:row>
          <xdr:rowOff>60960</xdr:rowOff>
        </xdr:from>
        <xdr:to>
          <xdr:col>9</xdr:col>
          <xdr:colOff>739140</xdr:colOff>
          <xdr:row>23</xdr:row>
          <xdr:rowOff>114300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FF6600"/>
                  </a:solidFill>
                  <a:latin typeface="Biome"/>
                  <a:cs typeface="Biome"/>
                </a:rPr>
                <a:t>Réponse 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68580</xdr:colOff>
          <xdr:row>2</xdr:row>
          <xdr:rowOff>175260</xdr:rowOff>
        </xdr:from>
        <xdr:to>
          <xdr:col>1</xdr:col>
          <xdr:colOff>632460</xdr:colOff>
          <xdr:row>4</xdr:row>
          <xdr:rowOff>121920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FF6600"/>
                  </a:solidFill>
                  <a:latin typeface="Biome"/>
                  <a:cs typeface="Biome"/>
                </a:rPr>
                <a:t>Arrêter le jeu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45720</xdr:colOff>
          <xdr:row>10</xdr:row>
          <xdr:rowOff>38100</xdr:rowOff>
        </xdr:from>
        <xdr:to>
          <xdr:col>0</xdr:col>
          <xdr:colOff>739140</xdr:colOff>
          <xdr:row>11</xdr:row>
          <xdr:rowOff>152400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FF6600"/>
                  </a:solidFill>
                  <a:latin typeface="Biome"/>
                  <a:cs typeface="Biome"/>
                </a:rPr>
                <a:t>50:50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53340</xdr:colOff>
          <xdr:row>12</xdr:row>
          <xdr:rowOff>38100</xdr:rowOff>
        </xdr:from>
        <xdr:to>
          <xdr:col>0</xdr:col>
          <xdr:colOff>739140</xdr:colOff>
          <xdr:row>13</xdr:row>
          <xdr:rowOff>137160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FF6600"/>
                  </a:solidFill>
                  <a:latin typeface="Biome"/>
                  <a:cs typeface="Biome"/>
                </a:rPr>
                <a:t>Thomson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E9FD6-03E8-4A28-85B3-9584F70D3A2D}">
  <sheetPr codeName="Feuil1">
    <tabColor theme="3" tint="9.9978637043366805E-2"/>
  </sheetPr>
  <dimension ref="A3:S24"/>
  <sheetViews>
    <sheetView showGridLines="0" tabSelected="1" workbookViewId="0">
      <selection activeCell="J4" sqref="J4"/>
    </sheetView>
  </sheetViews>
  <sheetFormatPr baseColWidth="10" defaultRowHeight="14.4" x14ac:dyDescent="0.3"/>
  <cols>
    <col min="1" max="2" width="11.5546875" style="1"/>
    <col min="3" max="3" width="10.33203125" style="1" customWidth="1"/>
    <col min="4" max="4" width="10" style="1" customWidth="1"/>
    <col min="5" max="10" width="11.5546875" style="1"/>
    <col min="11" max="11" width="9" style="1" customWidth="1"/>
    <col min="12" max="12" width="4.21875" style="1" customWidth="1"/>
    <col min="13" max="13" width="2.6640625" style="1" customWidth="1"/>
    <col min="14" max="14" width="11.5546875" style="1" customWidth="1"/>
    <col min="15" max="15" width="9.6640625" style="1" customWidth="1"/>
    <col min="16" max="16384" width="11.5546875" style="1"/>
  </cols>
  <sheetData>
    <row r="3" spans="1:19" ht="15" thickBot="1" x14ac:dyDescent="0.35"/>
    <row r="4" spans="1:19" ht="15.6" thickTop="1" thickBot="1" x14ac:dyDescent="0.35">
      <c r="G4" s="45" t="s">
        <v>254</v>
      </c>
      <c r="H4" s="44" t="e">
        <f>Déroulement!B3</f>
        <v>#N/A</v>
      </c>
    </row>
    <row r="5" spans="1:19" ht="15.6" thickTop="1" thickBot="1" x14ac:dyDescent="0.35">
      <c r="E5" s="62"/>
      <c r="F5" s="63"/>
      <c r="G5" s="63"/>
      <c r="H5" s="63"/>
      <c r="I5" s="63"/>
      <c r="J5" s="64"/>
    </row>
    <row r="6" spans="1:19" ht="15" thickTop="1" x14ac:dyDescent="0.3">
      <c r="E6" s="65"/>
      <c r="F6" s="66"/>
      <c r="G6" s="66"/>
      <c r="H6" s="66"/>
      <c r="I6" s="66"/>
      <c r="J6" s="67"/>
      <c r="L6" s="15">
        <v>12</v>
      </c>
      <c r="M6" s="16" t="str">
        <f>Déroulement!$F16</f>
        <v/>
      </c>
      <c r="N6" s="17">
        <v>1000000</v>
      </c>
      <c r="P6" s="85"/>
      <c r="Q6" s="86"/>
      <c r="R6" s="86"/>
      <c r="S6" s="87"/>
    </row>
    <row r="7" spans="1:19" ht="15" thickBot="1" x14ac:dyDescent="0.35">
      <c r="E7" s="65"/>
      <c r="F7" s="66"/>
      <c r="G7" s="66"/>
      <c r="H7" s="66"/>
      <c r="I7" s="66"/>
      <c r="J7" s="67"/>
      <c r="L7" s="18">
        <v>11</v>
      </c>
      <c r="M7" s="19" t="str">
        <f>Déroulement!$F15</f>
        <v/>
      </c>
      <c r="N7" s="20">
        <v>500000</v>
      </c>
      <c r="P7" s="88"/>
      <c r="Q7" s="89"/>
      <c r="R7" s="89"/>
      <c r="S7" s="90"/>
    </row>
    <row r="8" spans="1:19" ht="15.6" thickTop="1" thickBot="1" x14ac:dyDescent="0.35">
      <c r="E8" s="68"/>
      <c r="F8" s="69"/>
      <c r="G8" s="69"/>
      <c r="H8" s="69"/>
      <c r="I8" s="69"/>
      <c r="J8" s="70"/>
      <c r="L8" s="18">
        <v>10</v>
      </c>
      <c r="M8" s="19" t="str">
        <f>Déroulement!$F14</f>
        <v/>
      </c>
      <c r="N8" s="20">
        <v>250000</v>
      </c>
      <c r="P8" s="72" t="e" vm="1">
        <v>#VALUE!</v>
      </c>
      <c r="Q8" s="71"/>
      <c r="R8" s="71"/>
      <c r="S8" s="73"/>
    </row>
    <row r="9" spans="1:19" ht="15.6" thickTop="1" thickBot="1" x14ac:dyDescent="0.35">
      <c r="L9" s="18">
        <v>9</v>
      </c>
      <c r="M9" s="19" t="str">
        <f>Déroulement!$F13</f>
        <v/>
      </c>
      <c r="N9" s="20">
        <v>150000</v>
      </c>
      <c r="P9" s="74"/>
      <c r="Q9" s="75"/>
      <c r="R9" s="75"/>
      <c r="S9" s="76"/>
    </row>
    <row r="10" spans="1:19" ht="15.6" thickTop="1" thickBot="1" x14ac:dyDescent="0.35">
      <c r="A10" s="48" t="s">
        <v>256</v>
      </c>
      <c r="E10" s="97"/>
      <c r="F10" s="98"/>
      <c r="G10" s="99"/>
      <c r="H10" s="97"/>
      <c r="I10" s="91"/>
      <c r="J10" s="92"/>
      <c r="L10" s="18">
        <v>8</v>
      </c>
      <c r="M10" s="19" t="str">
        <f>Déroulement!$F12</f>
        <v/>
      </c>
      <c r="N10" s="20">
        <v>75000</v>
      </c>
      <c r="P10" s="74"/>
      <c r="Q10" s="75"/>
      <c r="R10" s="75"/>
      <c r="S10" s="76"/>
    </row>
    <row r="11" spans="1:19" ht="15.6" thickTop="1" thickBot="1" x14ac:dyDescent="0.35">
      <c r="A11" s="58"/>
      <c r="B11" s="60"/>
      <c r="E11" s="100"/>
      <c r="F11" s="101"/>
      <c r="G11" s="102"/>
      <c r="H11" s="93"/>
      <c r="I11" s="94"/>
      <c r="J11" s="95"/>
      <c r="L11" s="18">
        <v>7</v>
      </c>
      <c r="M11" s="19" t="str">
        <f>Déroulement!$F11</f>
        <v/>
      </c>
      <c r="N11" s="20">
        <v>50000</v>
      </c>
      <c r="P11" s="74"/>
      <c r="Q11" s="75"/>
      <c r="R11" s="75"/>
      <c r="S11" s="76"/>
    </row>
    <row r="12" spans="1:19" ht="15" thickBot="1" x14ac:dyDescent="0.35">
      <c r="A12" s="58"/>
      <c r="B12" s="61"/>
      <c r="E12" s="96"/>
      <c r="F12" s="96"/>
      <c r="G12" s="96"/>
      <c r="H12" s="96"/>
      <c r="I12" s="96"/>
      <c r="J12" s="96"/>
      <c r="L12" s="18">
        <v>6</v>
      </c>
      <c r="M12" s="19" t="str">
        <f>Déroulement!$F10</f>
        <v/>
      </c>
      <c r="N12" s="20">
        <v>20000</v>
      </c>
      <c r="P12" s="74"/>
      <c r="Q12" s="75"/>
      <c r="R12" s="75"/>
      <c r="S12" s="76"/>
    </row>
    <row r="13" spans="1:19" x14ac:dyDescent="0.3">
      <c r="A13" s="58"/>
      <c r="B13" s="83"/>
      <c r="E13" s="97"/>
      <c r="F13" s="91"/>
      <c r="G13" s="92"/>
      <c r="H13" s="97"/>
      <c r="I13" s="91"/>
      <c r="J13" s="92"/>
      <c r="L13" s="18">
        <v>5</v>
      </c>
      <c r="M13" s="19" t="str">
        <f>Déroulement!$F9</f>
        <v/>
      </c>
      <c r="N13" s="20">
        <v>10000</v>
      </c>
      <c r="P13" s="74"/>
      <c r="Q13" s="75"/>
      <c r="R13" s="75"/>
      <c r="S13" s="76"/>
    </row>
    <row r="14" spans="1:19" ht="15" thickBot="1" x14ac:dyDescent="0.35">
      <c r="A14" s="59"/>
      <c r="B14" s="84"/>
      <c r="E14" s="93"/>
      <c r="F14" s="94"/>
      <c r="G14" s="95"/>
      <c r="H14" s="93"/>
      <c r="I14" s="94"/>
      <c r="J14" s="95"/>
      <c r="L14" s="18">
        <v>4</v>
      </c>
      <c r="M14" s="19" t="str">
        <f>Déroulement!$F8</f>
        <v/>
      </c>
      <c r="N14" s="20">
        <v>5000</v>
      </c>
      <c r="P14" s="74"/>
      <c r="Q14" s="75"/>
      <c r="R14" s="75"/>
      <c r="S14" s="76"/>
    </row>
    <row r="15" spans="1:19" ht="15" thickTop="1" x14ac:dyDescent="0.3">
      <c r="L15" s="18">
        <v>3</v>
      </c>
      <c r="M15" s="19" t="str">
        <f>Déroulement!$F7</f>
        <v/>
      </c>
      <c r="N15" s="20">
        <v>2000</v>
      </c>
      <c r="P15" s="74"/>
      <c r="Q15" s="75"/>
      <c r="R15" s="75"/>
      <c r="S15" s="76"/>
    </row>
    <row r="16" spans="1:19" ht="15" thickBot="1" x14ac:dyDescent="0.35">
      <c r="L16" s="18">
        <v>2</v>
      </c>
      <c r="M16" s="19" t="str">
        <f>Déroulement!$F6</f>
        <v/>
      </c>
      <c r="N16" s="20">
        <v>1000</v>
      </c>
      <c r="P16" s="74"/>
      <c r="Q16" s="75"/>
      <c r="R16" s="75"/>
      <c r="S16" s="76"/>
    </row>
    <row r="17" spans="5:19" ht="15" thickBot="1" x14ac:dyDescent="0.35">
      <c r="E17" s="49"/>
      <c r="F17" s="50"/>
      <c r="G17" s="51"/>
      <c r="H17" s="49"/>
      <c r="I17" s="50"/>
      <c r="J17" s="51"/>
      <c r="L17" s="21">
        <v>1</v>
      </c>
      <c r="M17" s="22" t="str">
        <f>Déroulement!$F5</f>
        <v/>
      </c>
      <c r="N17" s="23">
        <v>500</v>
      </c>
      <c r="P17" s="74"/>
      <c r="Q17" s="75"/>
      <c r="R17" s="75"/>
      <c r="S17" s="76"/>
    </row>
    <row r="18" spans="5:19" ht="15.6" thickTop="1" thickBot="1" x14ac:dyDescent="0.35">
      <c r="E18" s="52"/>
      <c r="F18" s="53"/>
      <c r="G18" s="54"/>
      <c r="H18" s="52"/>
      <c r="I18" s="53"/>
      <c r="J18" s="54"/>
      <c r="P18" s="77"/>
      <c r="Q18" s="78"/>
      <c r="R18" s="78"/>
      <c r="S18" s="79"/>
    </row>
    <row r="19" spans="5:19" ht="15.6" thickTop="1" thickBot="1" x14ac:dyDescent="0.35">
      <c r="E19" s="52"/>
      <c r="F19" s="53"/>
      <c r="G19" s="54"/>
      <c r="H19" s="52"/>
      <c r="I19" s="53"/>
      <c r="J19" s="54"/>
      <c r="P19" s="82" t="s">
        <v>403</v>
      </c>
      <c r="Q19" s="80"/>
      <c r="R19" s="80"/>
      <c r="S19" s="81"/>
    </row>
    <row r="20" spans="5:19" ht="15.6" thickTop="1" thickBot="1" x14ac:dyDescent="0.35">
      <c r="E20" s="55"/>
      <c r="F20" s="56"/>
      <c r="G20" s="57"/>
      <c r="H20" s="55"/>
      <c r="I20" s="56"/>
      <c r="J20" s="57"/>
    </row>
    <row r="21" spans="5:19" x14ac:dyDescent="0.3">
      <c r="E21" s="49"/>
      <c r="F21" s="50"/>
      <c r="G21" s="51"/>
      <c r="H21" s="49"/>
      <c r="I21" s="50"/>
      <c r="J21" s="51"/>
    </row>
    <row r="22" spans="5:19" x14ac:dyDescent="0.3">
      <c r="E22" s="52"/>
      <c r="F22" s="53"/>
      <c r="G22" s="54"/>
      <c r="H22" s="52"/>
      <c r="I22" s="53"/>
      <c r="J22" s="54"/>
    </row>
    <row r="23" spans="5:19" x14ac:dyDescent="0.3">
      <c r="E23" s="52"/>
      <c r="F23" s="53"/>
      <c r="G23" s="54"/>
      <c r="H23" s="52"/>
      <c r="I23" s="53"/>
      <c r="J23" s="54"/>
    </row>
    <row r="24" spans="5:19" ht="15" thickBot="1" x14ac:dyDescent="0.35">
      <c r="E24" s="55"/>
      <c r="F24" s="56"/>
      <c r="G24" s="57"/>
      <c r="H24" s="55"/>
      <c r="I24" s="56"/>
      <c r="J24" s="57"/>
    </row>
  </sheetData>
  <mergeCells count="16">
    <mergeCell ref="P6:S7"/>
    <mergeCell ref="P8:S18"/>
    <mergeCell ref="P19:S19"/>
    <mergeCell ref="A11:A12"/>
    <mergeCell ref="A13:A14"/>
    <mergeCell ref="B11:B12"/>
    <mergeCell ref="B13:B14"/>
    <mergeCell ref="E5:J8"/>
    <mergeCell ref="E17:G20"/>
    <mergeCell ref="H17:J20"/>
    <mergeCell ref="E10:G11"/>
    <mergeCell ref="E21:G24"/>
    <mergeCell ref="H21:J24"/>
    <mergeCell ref="H10:J11"/>
    <mergeCell ref="E13:G14"/>
    <mergeCell ref="H13:J14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start">
                <anchor moveWithCells="1" sizeWithCells="1">
                  <from>
                    <xdr:col>0</xdr:col>
                    <xdr:colOff>60960</xdr:colOff>
                    <xdr:row>0</xdr:row>
                    <xdr:rowOff>83820</xdr:rowOff>
                  </from>
                  <to>
                    <xdr:col>1</xdr:col>
                    <xdr:colOff>624840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ThisWorkbook.rep_a">
                <anchor moveWithCells="1" sizeWithCells="1">
                  <from>
                    <xdr:col>4</xdr:col>
                    <xdr:colOff>60960</xdr:colOff>
                    <xdr:row>16</xdr:row>
                    <xdr:rowOff>60960</xdr:rowOff>
                  </from>
                  <to>
                    <xdr:col>6</xdr:col>
                    <xdr:colOff>739140</xdr:colOff>
                    <xdr:row>19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ThisWorkbook.rep_b">
                <anchor moveWithCells="1" sizeWithCells="1">
                  <from>
                    <xdr:col>7</xdr:col>
                    <xdr:colOff>53340</xdr:colOff>
                    <xdr:row>16</xdr:row>
                    <xdr:rowOff>60960</xdr:rowOff>
                  </from>
                  <to>
                    <xdr:col>9</xdr:col>
                    <xdr:colOff>731520</xdr:colOff>
                    <xdr:row>19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ThisWorkbook.rep_c">
                <anchor moveWithCells="1" sizeWithCells="1">
                  <from>
                    <xdr:col>4</xdr:col>
                    <xdr:colOff>60960</xdr:colOff>
                    <xdr:row>20</xdr:row>
                    <xdr:rowOff>60960</xdr:rowOff>
                  </from>
                  <to>
                    <xdr:col>6</xdr:col>
                    <xdr:colOff>739140</xdr:colOff>
                    <xdr:row>23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ThisWorkbook.rep_d">
                <anchor moveWithCells="1" sizeWithCells="1">
                  <from>
                    <xdr:col>7</xdr:col>
                    <xdr:colOff>60960</xdr:colOff>
                    <xdr:row>20</xdr:row>
                    <xdr:rowOff>60960</xdr:rowOff>
                  </from>
                  <to>
                    <xdr:col>9</xdr:col>
                    <xdr:colOff>739140</xdr:colOff>
                    <xdr:row>23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ThisWorkbook.fin">
                <anchor moveWithCells="1" sizeWithCells="1">
                  <from>
                    <xdr:col>0</xdr:col>
                    <xdr:colOff>68580</xdr:colOff>
                    <xdr:row>2</xdr:row>
                    <xdr:rowOff>175260</xdr:rowOff>
                  </from>
                  <to>
                    <xdr:col>1</xdr:col>
                    <xdr:colOff>632460</xdr:colOff>
                    <xdr:row>4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Button 8">
              <controlPr defaultSize="0" print="0" autoFill="0" autoPict="0" macro="[0]!ThisWorkbook.bonus_50">
                <anchor moveWithCells="1">
                  <from>
                    <xdr:col>0</xdr:col>
                    <xdr:colOff>45720</xdr:colOff>
                    <xdr:row>10</xdr:row>
                    <xdr:rowOff>38100</xdr:rowOff>
                  </from>
                  <to>
                    <xdr:col>0</xdr:col>
                    <xdr:colOff>739140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Button 9">
              <controlPr defaultSize="0" print="0" autoFill="0" autoPict="0" macro="[0]!ThisWorkbook.thomson">
                <anchor moveWithCells="1">
                  <from>
                    <xdr:col>0</xdr:col>
                    <xdr:colOff>53340</xdr:colOff>
                    <xdr:row>12</xdr:row>
                    <xdr:rowOff>38100</xdr:rowOff>
                  </from>
                  <to>
                    <xdr:col>0</xdr:col>
                    <xdr:colOff>739140</xdr:colOff>
                    <xdr:row>13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769E84-5741-4A85-B7BD-C85D292CB214}">
  <sheetPr codeName="Feuil2">
    <tabColor theme="0" tint="-0.499984740745262"/>
  </sheetPr>
  <dimension ref="A1:H16"/>
  <sheetViews>
    <sheetView workbookViewId="0">
      <selection activeCell="D16" sqref="D16"/>
    </sheetView>
  </sheetViews>
  <sheetFormatPr baseColWidth="10" defaultRowHeight="14.4" x14ac:dyDescent="0.3"/>
  <cols>
    <col min="4" max="4" width="13.21875" customWidth="1"/>
    <col min="5" max="5" width="11.5546875" customWidth="1"/>
    <col min="6" max="6" width="2.6640625" customWidth="1"/>
    <col min="7" max="7" width="3.44140625" customWidth="1"/>
    <col min="12" max="13" width="11.5546875" customWidth="1"/>
  </cols>
  <sheetData>
    <row r="1" spans="1:8" x14ac:dyDescent="0.3">
      <c r="B1" s="3" t="s">
        <v>135</v>
      </c>
      <c r="C1" s="3" t="s">
        <v>136</v>
      </c>
      <c r="D1" s="3" t="s">
        <v>137</v>
      </c>
      <c r="E1" s="3" t="s">
        <v>165</v>
      </c>
    </row>
    <row r="2" spans="1:8" x14ac:dyDescent="0.3">
      <c r="B2" s="11"/>
      <c r="C2" s="12">
        <f>VLOOKUP("X",F4:G15,2,FALSE)</f>
        <v>1</v>
      </c>
      <c r="D2" s="40"/>
      <c r="E2" s="4"/>
    </row>
    <row r="3" spans="1:8" x14ac:dyDescent="0.3">
      <c r="B3" s="13" t="e">
        <f>VLOOKUP(B2,A7:B11,2,FALSE)</f>
        <v>#N/A</v>
      </c>
      <c r="C3" s="14"/>
      <c r="D3" s="41"/>
      <c r="E3" s="6">
        <f>VLOOKUP("X",F4:H16,3,FALSE)</f>
        <v>0</v>
      </c>
    </row>
    <row r="4" spans="1:8" x14ac:dyDescent="0.3">
      <c r="D4" s="47" t="s">
        <v>255</v>
      </c>
      <c r="F4" s="33" t="str">
        <f>IF(E2=0,"X","")</f>
        <v>X</v>
      </c>
      <c r="G4" s="34">
        <v>1</v>
      </c>
      <c r="H4" s="35">
        <v>0</v>
      </c>
    </row>
    <row r="5" spans="1:8" x14ac:dyDescent="0.3">
      <c r="D5" s="12"/>
      <c r="F5" s="36" t="str">
        <f>IF(E2=1,"X","")</f>
        <v/>
      </c>
      <c r="G5" s="10">
        <v>2</v>
      </c>
      <c r="H5" s="37">
        <v>500</v>
      </c>
    </row>
    <row r="6" spans="1:8" x14ac:dyDescent="0.3">
      <c r="A6" s="10" t="s">
        <v>164</v>
      </c>
      <c r="D6" s="6"/>
      <c r="F6" s="36" t="str">
        <f>IF(E2=2,"X","")</f>
        <v/>
      </c>
      <c r="G6" s="10">
        <v>3</v>
      </c>
      <c r="H6" s="37">
        <v>1000</v>
      </c>
    </row>
    <row r="7" spans="1:8" x14ac:dyDescent="0.3">
      <c r="A7" s="4">
        <v>1</v>
      </c>
      <c r="B7" s="5" t="s">
        <v>0</v>
      </c>
      <c r="D7" s="105" t="s">
        <v>354</v>
      </c>
      <c r="F7" s="36" t="str">
        <f>IF(E2=3,"X","")</f>
        <v/>
      </c>
      <c r="G7" s="10">
        <v>4</v>
      </c>
      <c r="H7" s="37">
        <v>2000</v>
      </c>
    </row>
    <row r="8" spans="1:8" x14ac:dyDescent="0.3">
      <c r="A8" s="8">
        <v>2</v>
      </c>
      <c r="B8" s="9" t="s">
        <v>1</v>
      </c>
      <c r="D8" s="104"/>
      <c r="F8" s="36" t="str">
        <f>IF(E2=4,"X","")</f>
        <v/>
      </c>
      <c r="G8" s="10">
        <v>5</v>
      </c>
      <c r="H8" s="37">
        <v>5000</v>
      </c>
    </row>
    <row r="9" spans="1:8" x14ac:dyDescent="0.3">
      <c r="A9" s="8">
        <v>3</v>
      </c>
      <c r="B9" s="9" t="s">
        <v>2</v>
      </c>
      <c r="F9" s="36" t="str">
        <f>IF(E2=5,"X","")</f>
        <v/>
      </c>
      <c r="G9" s="10">
        <v>6</v>
      </c>
      <c r="H9" s="37">
        <v>10000</v>
      </c>
    </row>
    <row r="10" spans="1:8" x14ac:dyDescent="0.3">
      <c r="A10" s="8">
        <v>4</v>
      </c>
      <c r="B10" s="9" t="s">
        <v>3</v>
      </c>
      <c r="F10" s="36" t="str">
        <f>IF(E2=6,"X","")</f>
        <v/>
      </c>
      <c r="G10" s="10">
        <v>7</v>
      </c>
      <c r="H10" s="37">
        <v>20000</v>
      </c>
    </row>
    <row r="11" spans="1:8" x14ac:dyDescent="0.3">
      <c r="A11" s="6">
        <v>5</v>
      </c>
      <c r="B11" s="7" t="s">
        <v>4</v>
      </c>
      <c r="D11" s="103"/>
      <c r="F11" s="36" t="str">
        <f>IF(E2=7,"X","")</f>
        <v/>
      </c>
      <c r="G11" s="10">
        <v>8</v>
      </c>
      <c r="H11" s="37">
        <v>50000</v>
      </c>
    </row>
    <row r="12" spans="1:8" x14ac:dyDescent="0.3">
      <c r="F12" s="36" t="str">
        <f>IF(E2=8,"X","")</f>
        <v/>
      </c>
      <c r="G12" s="10">
        <v>9</v>
      </c>
      <c r="H12" s="37">
        <v>75000</v>
      </c>
    </row>
    <row r="13" spans="1:8" x14ac:dyDescent="0.3">
      <c r="F13" s="36" t="str">
        <f>IF(E2=9,"X","")</f>
        <v/>
      </c>
      <c r="G13" s="10">
        <v>10</v>
      </c>
      <c r="H13" s="37">
        <v>150000</v>
      </c>
    </row>
    <row r="14" spans="1:8" x14ac:dyDescent="0.3">
      <c r="F14" s="36" t="str">
        <f>IF(E2=10,"X","")</f>
        <v/>
      </c>
      <c r="G14" s="10">
        <v>11</v>
      </c>
      <c r="H14" s="37">
        <v>250000</v>
      </c>
    </row>
    <row r="15" spans="1:8" x14ac:dyDescent="0.3">
      <c r="F15" s="36" t="str">
        <f>IF(E2=11,"X","")</f>
        <v/>
      </c>
      <c r="G15" s="43">
        <v>12</v>
      </c>
      <c r="H15" s="37">
        <v>500000</v>
      </c>
    </row>
    <row r="16" spans="1:8" x14ac:dyDescent="0.3">
      <c r="F16" s="39" t="str">
        <f>IF(E2=12,"X","")</f>
        <v/>
      </c>
      <c r="G16" s="42"/>
      <c r="H16" s="38">
        <v>1000000</v>
      </c>
    </row>
  </sheetData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3BD0AE-4716-4D93-9F14-26B9702FAF57}">
  <sheetPr codeName="Feuil3">
    <tabColor theme="0" tint="-0.499984740745262"/>
  </sheetPr>
  <dimension ref="A1:I13"/>
  <sheetViews>
    <sheetView topLeftCell="B1" workbookViewId="0">
      <selection activeCell="I2" sqref="I2"/>
    </sheetView>
  </sheetViews>
  <sheetFormatPr baseColWidth="10" defaultRowHeight="14.4" x14ac:dyDescent="0.3"/>
  <cols>
    <col min="2" max="2" width="61.44140625" customWidth="1"/>
    <col min="3" max="6" width="25.77734375" customWidth="1"/>
    <col min="7" max="8" width="13.6640625" customWidth="1"/>
    <col min="9" max="9" width="62.77734375" customWidth="1"/>
  </cols>
  <sheetData>
    <row r="1" spans="1:9" ht="25.05" customHeight="1" x14ac:dyDescent="0.3">
      <c r="A1" s="2" t="s">
        <v>16</v>
      </c>
      <c r="B1" s="2" t="s">
        <v>5</v>
      </c>
      <c r="C1" s="2" t="s">
        <v>6</v>
      </c>
      <c r="D1" s="2" t="s">
        <v>7</v>
      </c>
      <c r="E1" s="2" t="s">
        <v>8</v>
      </c>
      <c r="F1" s="2" t="s">
        <v>9</v>
      </c>
      <c r="G1" s="2" t="s">
        <v>80</v>
      </c>
      <c r="H1" s="46" t="s">
        <v>255</v>
      </c>
      <c r="I1" s="2" t="s">
        <v>354</v>
      </c>
    </row>
    <row r="2" spans="1:9" ht="25.05" customHeight="1" x14ac:dyDescent="0.3">
      <c r="A2" s="24" t="s">
        <v>17</v>
      </c>
      <c r="B2" s="26" t="s">
        <v>11</v>
      </c>
      <c r="C2" s="24" t="s">
        <v>35</v>
      </c>
      <c r="D2" s="24" t="s">
        <v>36</v>
      </c>
      <c r="E2" s="24" t="s">
        <v>37</v>
      </c>
      <c r="F2" s="24" t="s">
        <v>38</v>
      </c>
      <c r="G2" s="24" t="s">
        <v>8</v>
      </c>
      <c r="H2" s="24" t="s">
        <v>9</v>
      </c>
      <c r="I2" s="24" t="s">
        <v>342</v>
      </c>
    </row>
    <row r="3" spans="1:9" ht="25.05" customHeight="1" x14ac:dyDescent="0.3">
      <c r="A3" s="24" t="s">
        <v>18</v>
      </c>
      <c r="B3" s="26" t="s">
        <v>10</v>
      </c>
      <c r="C3" s="24" t="s">
        <v>39</v>
      </c>
      <c r="D3" s="24" t="s">
        <v>40</v>
      </c>
      <c r="E3" s="24" t="s">
        <v>41</v>
      </c>
      <c r="F3" s="24" t="s">
        <v>42</v>
      </c>
      <c r="G3" s="24" t="s">
        <v>6</v>
      </c>
      <c r="H3" s="24" t="s">
        <v>7</v>
      </c>
      <c r="I3" s="24" t="s">
        <v>343</v>
      </c>
    </row>
    <row r="4" spans="1:9" ht="25.05" customHeight="1" x14ac:dyDescent="0.3">
      <c r="A4" s="24" t="s">
        <v>19</v>
      </c>
      <c r="B4" s="26" t="s">
        <v>33</v>
      </c>
      <c r="C4" s="24" t="s">
        <v>43</v>
      </c>
      <c r="D4" s="24" t="s">
        <v>44</v>
      </c>
      <c r="E4" s="24" t="s">
        <v>46</v>
      </c>
      <c r="F4" s="24" t="s">
        <v>45</v>
      </c>
      <c r="G4" s="24" t="s">
        <v>7</v>
      </c>
      <c r="H4" s="24" t="s">
        <v>8</v>
      </c>
      <c r="I4" s="24" t="s">
        <v>344</v>
      </c>
    </row>
    <row r="5" spans="1:9" ht="25.05" customHeight="1" x14ac:dyDescent="0.3">
      <c r="A5" s="24" t="s">
        <v>20</v>
      </c>
      <c r="B5" s="26" t="s">
        <v>12</v>
      </c>
      <c r="C5" s="24" t="s">
        <v>47</v>
      </c>
      <c r="D5" s="24" t="s">
        <v>48</v>
      </c>
      <c r="E5" s="24" t="s">
        <v>49</v>
      </c>
      <c r="F5" s="24" t="s">
        <v>50</v>
      </c>
      <c r="G5" s="24" t="s">
        <v>6</v>
      </c>
      <c r="H5" s="24" t="s">
        <v>8</v>
      </c>
      <c r="I5" s="24" t="s">
        <v>345</v>
      </c>
    </row>
    <row r="6" spans="1:9" ht="25.05" customHeight="1" x14ac:dyDescent="0.3">
      <c r="A6" s="24" t="s">
        <v>21</v>
      </c>
      <c r="B6" s="26" t="s">
        <v>13</v>
      </c>
      <c r="C6" s="24" t="s">
        <v>51</v>
      </c>
      <c r="D6" s="24" t="s">
        <v>52</v>
      </c>
      <c r="E6" s="24" t="s">
        <v>53</v>
      </c>
      <c r="F6" s="24" t="s">
        <v>54</v>
      </c>
      <c r="G6" s="24" t="s">
        <v>8</v>
      </c>
      <c r="H6" s="24" t="s">
        <v>7</v>
      </c>
      <c r="I6" s="24" t="s">
        <v>346</v>
      </c>
    </row>
    <row r="7" spans="1:9" ht="25.05" customHeight="1" x14ac:dyDescent="0.3">
      <c r="A7" s="24" t="s">
        <v>22</v>
      </c>
      <c r="B7" s="26" t="s">
        <v>15</v>
      </c>
      <c r="C7" s="24" t="s">
        <v>55</v>
      </c>
      <c r="D7" s="24" t="s">
        <v>56</v>
      </c>
      <c r="E7" s="24" t="s">
        <v>57</v>
      </c>
      <c r="F7" s="24" t="s">
        <v>58</v>
      </c>
      <c r="G7" s="24" t="s">
        <v>9</v>
      </c>
      <c r="H7" s="24" t="s">
        <v>8</v>
      </c>
      <c r="I7" s="24" t="s">
        <v>347</v>
      </c>
    </row>
    <row r="8" spans="1:9" ht="25.05" customHeight="1" x14ac:dyDescent="0.3">
      <c r="A8" s="24" t="s">
        <v>23</v>
      </c>
      <c r="B8" s="26" t="s">
        <v>14</v>
      </c>
      <c r="C8" s="24" t="s">
        <v>37</v>
      </c>
      <c r="D8" s="24" t="s">
        <v>59</v>
      </c>
      <c r="E8" s="24" t="s">
        <v>35</v>
      </c>
      <c r="F8" s="24" t="s">
        <v>60</v>
      </c>
      <c r="G8" s="24" t="s">
        <v>7</v>
      </c>
      <c r="H8" s="24" t="s">
        <v>6</v>
      </c>
      <c r="I8" s="24" t="s">
        <v>348</v>
      </c>
    </row>
    <row r="9" spans="1:9" ht="25.05" customHeight="1" x14ac:dyDescent="0.3">
      <c r="A9" s="24" t="s">
        <v>24</v>
      </c>
      <c r="B9" s="26" t="s">
        <v>30</v>
      </c>
      <c r="C9" s="24" t="s">
        <v>61</v>
      </c>
      <c r="D9" s="24" t="s">
        <v>62</v>
      </c>
      <c r="E9" s="24" t="s">
        <v>63</v>
      </c>
      <c r="F9" s="24" t="s">
        <v>64</v>
      </c>
      <c r="G9" s="24" t="s">
        <v>6</v>
      </c>
      <c r="H9" s="24" t="s">
        <v>9</v>
      </c>
      <c r="I9" s="24" t="s">
        <v>349</v>
      </c>
    </row>
    <row r="10" spans="1:9" ht="28.8" x14ac:dyDescent="0.3">
      <c r="A10" s="24" t="s">
        <v>25</v>
      </c>
      <c r="B10" s="26" t="s">
        <v>31</v>
      </c>
      <c r="C10" s="24" t="s">
        <v>65</v>
      </c>
      <c r="D10" s="24" t="s">
        <v>341</v>
      </c>
      <c r="E10" s="24" t="s">
        <v>66</v>
      </c>
      <c r="F10" s="24" t="s">
        <v>67</v>
      </c>
      <c r="G10" s="24" t="s">
        <v>7</v>
      </c>
      <c r="H10" s="24" t="s">
        <v>6</v>
      </c>
      <c r="I10" s="24" t="s">
        <v>350</v>
      </c>
    </row>
    <row r="11" spans="1:9" ht="25.05" customHeight="1" x14ac:dyDescent="0.3">
      <c r="A11" s="24" t="s">
        <v>27</v>
      </c>
      <c r="B11" s="26" t="s">
        <v>34</v>
      </c>
      <c r="C11" s="24" t="s">
        <v>68</v>
      </c>
      <c r="D11" s="24" t="s">
        <v>69</v>
      </c>
      <c r="E11" s="24" t="s">
        <v>70</v>
      </c>
      <c r="F11" s="24" t="s">
        <v>71</v>
      </c>
      <c r="G11" s="24" t="s">
        <v>9</v>
      </c>
      <c r="H11" s="24" t="s">
        <v>7</v>
      </c>
      <c r="I11" s="24" t="s">
        <v>351</v>
      </c>
    </row>
    <row r="12" spans="1:9" ht="25.05" customHeight="1" x14ac:dyDescent="0.3">
      <c r="A12" s="24" t="s">
        <v>26</v>
      </c>
      <c r="B12" s="26" t="s">
        <v>32</v>
      </c>
      <c r="C12" s="24" t="s">
        <v>72</v>
      </c>
      <c r="D12" s="24" t="s">
        <v>73</v>
      </c>
      <c r="E12" s="24" t="s">
        <v>74</v>
      </c>
      <c r="F12" s="24" t="s">
        <v>75</v>
      </c>
      <c r="G12" s="24" t="s">
        <v>8</v>
      </c>
      <c r="H12" s="24" t="s">
        <v>6</v>
      </c>
      <c r="I12" s="24" t="s">
        <v>352</v>
      </c>
    </row>
    <row r="13" spans="1:9" ht="25.05" customHeight="1" x14ac:dyDescent="0.3">
      <c r="A13" s="24" t="s">
        <v>28</v>
      </c>
      <c r="B13" s="26" t="s">
        <v>29</v>
      </c>
      <c r="C13" s="24" t="s">
        <v>76</v>
      </c>
      <c r="D13" s="24" t="s">
        <v>77</v>
      </c>
      <c r="E13" s="24" t="s">
        <v>78</v>
      </c>
      <c r="F13" s="24" t="s">
        <v>79</v>
      </c>
      <c r="G13" s="24" t="s">
        <v>7</v>
      </c>
      <c r="H13" s="24" t="s">
        <v>8</v>
      </c>
      <c r="I13" s="24" t="s">
        <v>353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A02C96-9A00-4846-9CBF-3E483485E9C7}">
  <sheetPr codeName="Feuil4">
    <tabColor theme="0" tint="-0.499984740745262"/>
  </sheetPr>
  <dimension ref="A1:I13"/>
  <sheetViews>
    <sheetView topLeftCell="B2" workbookViewId="0">
      <selection activeCell="H15" sqref="H15"/>
    </sheetView>
  </sheetViews>
  <sheetFormatPr baseColWidth="10" defaultRowHeight="14.4" x14ac:dyDescent="0.3"/>
  <cols>
    <col min="2" max="2" width="61.44140625" customWidth="1"/>
    <col min="3" max="6" width="25.77734375" customWidth="1"/>
    <col min="7" max="8" width="13.6640625" customWidth="1"/>
    <col min="9" max="9" width="62.88671875" customWidth="1"/>
  </cols>
  <sheetData>
    <row r="1" spans="1:9" ht="25.05" customHeight="1" x14ac:dyDescent="0.3">
      <c r="A1" s="2" t="s">
        <v>16</v>
      </c>
      <c r="B1" s="2" t="s">
        <v>5</v>
      </c>
      <c r="C1" s="2" t="s">
        <v>6</v>
      </c>
      <c r="D1" s="2" t="s">
        <v>7</v>
      </c>
      <c r="E1" s="2" t="s">
        <v>8</v>
      </c>
      <c r="F1" s="2" t="s">
        <v>9</v>
      </c>
      <c r="G1" s="2" t="s">
        <v>80</v>
      </c>
      <c r="H1" s="46" t="s">
        <v>255</v>
      </c>
      <c r="I1" s="2" t="s">
        <v>354</v>
      </c>
    </row>
    <row r="2" spans="1:9" ht="25.05" customHeight="1" x14ac:dyDescent="0.3">
      <c r="A2" s="24" t="s">
        <v>81</v>
      </c>
      <c r="B2" s="26" t="s">
        <v>93</v>
      </c>
      <c r="C2" s="24" t="s">
        <v>94</v>
      </c>
      <c r="D2" s="24" t="s">
        <v>96</v>
      </c>
      <c r="E2" s="24" t="s">
        <v>95</v>
      </c>
      <c r="F2" s="24" t="s">
        <v>97</v>
      </c>
      <c r="G2" s="24" t="s">
        <v>7</v>
      </c>
      <c r="H2" s="24" t="s">
        <v>6</v>
      </c>
      <c r="I2" s="24" t="s">
        <v>355</v>
      </c>
    </row>
    <row r="3" spans="1:9" ht="25.05" customHeight="1" x14ac:dyDescent="0.3">
      <c r="A3" s="24" t="s">
        <v>82</v>
      </c>
      <c r="B3" s="26" t="s">
        <v>98</v>
      </c>
      <c r="C3" s="27" t="s">
        <v>99</v>
      </c>
      <c r="D3" s="27" t="s">
        <v>100</v>
      </c>
      <c r="E3" s="24" t="s">
        <v>101</v>
      </c>
      <c r="F3" s="24" t="s">
        <v>102</v>
      </c>
      <c r="G3" s="24" t="s">
        <v>6</v>
      </c>
      <c r="H3" s="24" t="s">
        <v>7</v>
      </c>
      <c r="I3" s="24" t="s">
        <v>356</v>
      </c>
    </row>
    <row r="4" spans="1:9" ht="25.05" customHeight="1" x14ac:dyDescent="0.3">
      <c r="A4" s="24" t="s">
        <v>83</v>
      </c>
      <c r="B4" s="26" t="s">
        <v>103</v>
      </c>
      <c r="C4" s="28" t="s">
        <v>104</v>
      </c>
      <c r="D4" s="28" t="s">
        <v>105</v>
      </c>
      <c r="E4" s="24" t="s">
        <v>106</v>
      </c>
      <c r="F4" s="28" t="s">
        <v>107</v>
      </c>
      <c r="G4" s="28" t="s">
        <v>9</v>
      </c>
      <c r="H4" s="24" t="s">
        <v>7</v>
      </c>
      <c r="I4" s="28" t="s">
        <v>357</v>
      </c>
    </row>
    <row r="5" spans="1:9" ht="25.05" customHeight="1" x14ac:dyDescent="0.3">
      <c r="A5" s="24" t="s">
        <v>84</v>
      </c>
      <c r="B5" s="26" t="s">
        <v>108</v>
      </c>
      <c r="C5" s="24" t="s">
        <v>109</v>
      </c>
      <c r="D5" s="24" t="s">
        <v>110</v>
      </c>
      <c r="E5" s="24" t="s">
        <v>111</v>
      </c>
      <c r="F5" s="24" t="s">
        <v>112</v>
      </c>
      <c r="G5" s="24" t="s">
        <v>7</v>
      </c>
      <c r="H5" s="24" t="s">
        <v>8</v>
      </c>
      <c r="I5" s="24" t="s">
        <v>358</v>
      </c>
    </row>
    <row r="6" spans="1:9" ht="25.05" customHeight="1" x14ac:dyDescent="0.3">
      <c r="A6" s="24" t="s">
        <v>85</v>
      </c>
      <c r="B6" s="26" t="s">
        <v>282</v>
      </c>
      <c r="C6" s="24" t="s">
        <v>285</v>
      </c>
      <c r="D6" s="29" t="s">
        <v>284</v>
      </c>
      <c r="E6" s="24" t="s">
        <v>283</v>
      </c>
      <c r="F6" s="24" t="s">
        <v>286</v>
      </c>
      <c r="G6" s="24" t="s">
        <v>6</v>
      </c>
      <c r="H6" s="24" t="s">
        <v>8</v>
      </c>
      <c r="I6" s="24" t="s">
        <v>359</v>
      </c>
    </row>
    <row r="7" spans="1:9" ht="25.05" customHeight="1" x14ac:dyDescent="0.3">
      <c r="A7" s="24" t="s">
        <v>86</v>
      </c>
      <c r="B7" s="26" t="s">
        <v>113</v>
      </c>
      <c r="C7" s="24" t="s">
        <v>115</v>
      </c>
      <c r="D7" s="29" t="s">
        <v>114</v>
      </c>
      <c r="E7" s="24" t="s">
        <v>116</v>
      </c>
      <c r="F7" s="24" t="s">
        <v>117</v>
      </c>
      <c r="G7" s="24" t="s">
        <v>7</v>
      </c>
      <c r="H7" s="24" t="s">
        <v>9</v>
      </c>
      <c r="I7" s="24" t="s">
        <v>360</v>
      </c>
    </row>
    <row r="8" spans="1:9" ht="24" customHeight="1" x14ac:dyDescent="0.3">
      <c r="A8" s="24" t="s">
        <v>87</v>
      </c>
      <c r="B8" s="26" t="s">
        <v>257</v>
      </c>
      <c r="C8" s="28" t="s">
        <v>259</v>
      </c>
      <c r="D8" s="28" t="s">
        <v>258</v>
      </c>
      <c r="E8" s="28" t="s">
        <v>260</v>
      </c>
      <c r="F8" s="28" t="s">
        <v>261</v>
      </c>
      <c r="G8" s="24" t="s">
        <v>9</v>
      </c>
      <c r="H8" s="24" t="s">
        <v>6</v>
      </c>
      <c r="I8" s="24" t="s">
        <v>361</v>
      </c>
    </row>
    <row r="9" spans="1:9" ht="28.8" customHeight="1" x14ac:dyDescent="0.3">
      <c r="A9" s="24" t="s">
        <v>88</v>
      </c>
      <c r="B9" s="26" t="s">
        <v>262</v>
      </c>
      <c r="C9" s="30" t="s">
        <v>263</v>
      </c>
      <c r="D9" s="24" t="s">
        <v>264</v>
      </c>
      <c r="E9" s="24" t="s">
        <v>265</v>
      </c>
      <c r="F9" s="30" t="s">
        <v>266</v>
      </c>
      <c r="G9" s="24" t="s">
        <v>6</v>
      </c>
      <c r="H9" s="24" t="s">
        <v>7</v>
      </c>
      <c r="I9" s="24" t="s">
        <v>362</v>
      </c>
    </row>
    <row r="10" spans="1:9" ht="24.6" customHeight="1" x14ac:dyDescent="0.3">
      <c r="A10" s="24" t="s">
        <v>89</v>
      </c>
      <c r="B10" s="26" t="s">
        <v>271</v>
      </c>
      <c r="C10" s="24" t="s">
        <v>267</v>
      </c>
      <c r="D10" s="24" t="s">
        <v>268</v>
      </c>
      <c r="E10" s="24" t="s">
        <v>269</v>
      </c>
      <c r="F10" s="24" t="s">
        <v>270</v>
      </c>
      <c r="G10" s="24" t="s">
        <v>6</v>
      </c>
      <c r="H10" s="24" t="s">
        <v>7</v>
      </c>
      <c r="I10" s="24" t="s">
        <v>363</v>
      </c>
    </row>
    <row r="11" spans="1:9" ht="28.8" customHeight="1" x14ac:dyDescent="0.3">
      <c r="A11" s="24" t="s">
        <v>90</v>
      </c>
      <c r="B11" s="26" t="s">
        <v>272</v>
      </c>
      <c r="C11" s="24" t="s">
        <v>273</v>
      </c>
      <c r="D11" s="24" t="s">
        <v>274</v>
      </c>
      <c r="E11" s="24" t="s">
        <v>275</v>
      </c>
      <c r="F11" s="24" t="s">
        <v>276</v>
      </c>
      <c r="G11" s="24" t="s">
        <v>8</v>
      </c>
      <c r="H11" s="24" t="s">
        <v>7</v>
      </c>
      <c r="I11" s="24" t="s">
        <v>364</v>
      </c>
    </row>
    <row r="12" spans="1:9" ht="30" customHeight="1" x14ac:dyDescent="0.3">
      <c r="A12" s="24" t="s">
        <v>91</v>
      </c>
      <c r="B12" s="26" t="s">
        <v>277</v>
      </c>
      <c r="C12" s="24" t="s">
        <v>278</v>
      </c>
      <c r="D12" s="24" t="s">
        <v>279</v>
      </c>
      <c r="E12" s="24" t="s">
        <v>280</v>
      </c>
      <c r="F12" s="24" t="s">
        <v>281</v>
      </c>
      <c r="G12" s="24" t="s">
        <v>9</v>
      </c>
      <c r="H12" s="24" t="s">
        <v>8</v>
      </c>
      <c r="I12" s="24" t="s">
        <v>365</v>
      </c>
    </row>
    <row r="13" spans="1:9" ht="42.6" customHeight="1" x14ac:dyDescent="0.3">
      <c r="A13" s="24" t="s">
        <v>92</v>
      </c>
      <c r="B13" s="26" t="s">
        <v>287</v>
      </c>
      <c r="C13" s="24" t="s">
        <v>288</v>
      </c>
      <c r="D13" s="24" t="s">
        <v>290</v>
      </c>
      <c r="E13" s="24" t="s">
        <v>289</v>
      </c>
      <c r="F13" s="30" t="s">
        <v>291</v>
      </c>
      <c r="G13" s="24" t="s">
        <v>8</v>
      </c>
      <c r="H13" s="24" t="s">
        <v>7</v>
      </c>
      <c r="I13" s="30" t="s">
        <v>366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9D6B71-6601-44AD-BB13-9CB8232007AA}">
  <sheetPr codeName="Feuil5">
    <tabColor theme="0" tint="-0.499984740745262"/>
  </sheetPr>
  <dimension ref="A1:I13"/>
  <sheetViews>
    <sheetView workbookViewId="0">
      <selection activeCell="I14" sqref="I14"/>
    </sheetView>
  </sheetViews>
  <sheetFormatPr baseColWidth="10" defaultRowHeight="14.4" x14ac:dyDescent="0.3"/>
  <cols>
    <col min="2" max="2" width="61.44140625" customWidth="1"/>
    <col min="3" max="6" width="25.77734375" customWidth="1"/>
    <col min="7" max="8" width="13.6640625" customWidth="1"/>
    <col min="9" max="9" width="57.77734375" customWidth="1"/>
  </cols>
  <sheetData>
    <row r="1" spans="1:9" ht="25.05" customHeight="1" x14ac:dyDescent="0.3">
      <c r="A1" s="2" t="s">
        <v>16</v>
      </c>
      <c r="B1" s="2" t="s">
        <v>5</v>
      </c>
      <c r="C1" s="2" t="s">
        <v>6</v>
      </c>
      <c r="D1" s="2" t="s">
        <v>7</v>
      </c>
      <c r="E1" s="2" t="s">
        <v>8</v>
      </c>
      <c r="F1" s="2" t="s">
        <v>9</v>
      </c>
      <c r="G1" s="2" t="s">
        <v>80</v>
      </c>
      <c r="H1" s="46" t="s">
        <v>255</v>
      </c>
      <c r="I1" s="2" t="s">
        <v>354</v>
      </c>
    </row>
    <row r="2" spans="1:9" ht="25.05" customHeight="1" x14ac:dyDescent="0.3">
      <c r="A2" s="24" t="s">
        <v>118</v>
      </c>
      <c r="B2" s="26" t="s">
        <v>130</v>
      </c>
      <c r="C2" s="24" t="s">
        <v>131</v>
      </c>
      <c r="D2" s="24" t="s">
        <v>132</v>
      </c>
      <c r="E2" s="24" t="s">
        <v>133</v>
      </c>
      <c r="F2" s="24" t="s">
        <v>134</v>
      </c>
      <c r="G2" s="24" t="s">
        <v>8</v>
      </c>
      <c r="H2" s="24" t="s">
        <v>7</v>
      </c>
      <c r="I2" s="24" t="s">
        <v>367</v>
      </c>
    </row>
    <row r="3" spans="1:9" ht="25.05" customHeight="1" x14ac:dyDescent="0.3">
      <c r="A3" s="24" t="s">
        <v>119</v>
      </c>
      <c r="B3" s="26" t="s">
        <v>175</v>
      </c>
      <c r="C3" s="24" t="s">
        <v>176</v>
      </c>
      <c r="D3" s="24" t="s">
        <v>177</v>
      </c>
      <c r="E3" s="24" t="s">
        <v>178</v>
      </c>
      <c r="F3" s="24" t="s">
        <v>179</v>
      </c>
      <c r="G3" s="24" t="s">
        <v>7</v>
      </c>
      <c r="H3" s="24" t="s">
        <v>8</v>
      </c>
      <c r="I3" s="24" t="s">
        <v>368</v>
      </c>
    </row>
    <row r="4" spans="1:9" ht="25.05" customHeight="1" x14ac:dyDescent="0.3">
      <c r="A4" s="24" t="s">
        <v>120</v>
      </c>
      <c r="B4" s="26" t="s">
        <v>180</v>
      </c>
      <c r="C4" s="24" t="s">
        <v>181</v>
      </c>
      <c r="D4" s="24" t="s">
        <v>181</v>
      </c>
      <c r="E4" s="24" t="s">
        <v>181</v>
      </c>
      <c r="F4" s="24" t="s">
        <v>133</v>
      </c>
      <c r="G4" s="24" t="s">
        <v>9</v>
      </c>
      <c r="H4" s="24" t="s">
        <v>6</v>
      </c>
      <c r="I4" s="24" t="s">
        <v>369</v>
      </c>
    </row>
    <row r="5" spans="1:9" s="31" customFormat="1" ht="30.6" customHeight="1" x14ac:dyDescent="0.3">
      <c r="A5" s="30" t="s">
        <v>121</v>
      </c>
      <c r="B5" s="26" t="s">
        <v>182</v>
      </c>
      <c r="C5" s="30" t="s">
        <v>183</v>
      </c>
      <c r="D5" s="30" t="s">
        <v>184</v>
      </c>
      <c r="E5" s="30" t="s">
        <v>185</v>
      </c>
      <c r="F5" s="30" t="s">
        <v>186</v>
      </c>
      <c r="G5" s="30" t="s">
        <v>6</v>
      </c>
      <c r="H5" s="30" t="s">
        <v>9</v>
      </c>
      <c r="I5" s="30" t="s">
        <v>370</v>
      </c>
    </row>
    <row r="6" spans="1:9" ht="44.4" customHeight="1" x14ac:dyDescent="0.3">
      <c r="A6" s="24" t="s">
        <v>122</v>
      </c>
      <c r="B6" s="26" t="s">
        <v>187</v>
      </c>
      <c r="C6" s="30" t="s">
        <v>188</v>
      </c>
      <c r="D6" s="30" t="s">
        <v>189</v>
      </c>
      <c r="E6" s="30" t="s">
        <v>190</v>
      </c>
      <c r="F6" s="24" t="s">
        <v>191</v>
      </c>
      <c r="G6" s="24" t="s">
        <v>9</v>
      </c>
      <c r="H6" s="24" t="s">
        <v>6</v>
      </c>
      <c r="I6" s="24" t="s">
        <v>371</v>
      </c>
    </row>
    <row r="7" spans="1:9" ht="25.05" customHeight="1" x14ac:dyDescent="0.3">
      <c r="A7" s="24" t="s">
        <v>123</v>
      </c>
      <c r="B7" s="26" t="s">
        <v>192</v>
      </c>
      <c r="C7" s="24" t="s">
        <v>193</v>
      </c>
      <c r="D7" s="24" t="s">
        <v>194</v>
      </c>
      <c r="E7" s="24" t="s">
        <v>195</v>
      </c>
      <c r="F7" s="24" t="s">
        <v>196</v>
      </c>
      <c r="G7" s="24" t="s">
        <v>8</v>
      </c>
      <c r="H7" s="24" t="s">
        <v>7</v>
      </c>
      <c r="I7" s="24" t="s">
        <v>372</v>
      </c>
    </row>
    <row r="8" spans="1:9" ht="30.6" customHeight="1" x14ac:dyDescent="0.3">
      <c r="A8" s="24" t="s">
        <v>124</v>
      </c>
      <c r="B8" s="26" t="s">
        <v>197</v>
      </c>
      <c r="C8" s="24" t="s">
        <v>198</v>
      </c>
      <c r="D8" s="24" t="s">
        <v>199</v>
      </c>
      <c r="E8" s="24" t="s">
        <v>200</v>
      </c>
      <c r="F8" s="30" t="s">
        <v>201</v>
      </c>
      <c r="G8" s="24" t="s">
        <v>8</v>
      </c>
      <c r="H8" s="24" t="s">
        <v>6</v>
      </c>
      <c r="I8" s="24" t="s">
        <v>373</v>
      </c>
    </row>
    <row r="9" spans="1:9" ht="33.6" customHeight="1" x14ac:dyDescent="0.3">
      <c r="A9" s="24" t="s">
        <v>125</v>
      </c>
      <c r="B9" s="26" t="s">
        <v>202</v>
      </c>
      <c r="C9" s="24" t="s">
        <v>131</v>
      </c>
      <c r="D9" s="24" t="s">
        <v>203</v>
      </c>
      <c r="E9" s="24" t="s">
        <v>134</v>
      </c>
      <c r="F9" s="24" t="s">
        <v>204</v>
      </c>
      <c r="G9" s="24" t="s">
        <v>6</v>
      </c>
      <c r="H9" s="24" t="s">
        <v>8</v>
      </c>
      <c r="I9" s="24" t="s">
        <v>374</v>
      </c>
    </row>
    <row r="10" spans="1:9" ht="28.8" customHeight="1" x14ac:dyDescent="0.3">
      <c r="A10" s="24" t="s">
        <v>126</v>
      </c>
      <c r="B10" s="26" t="s">
        <v>210</v>
      </c>
      <c r="C10" s="24" t="s">
        <v>211</v>
      </c>
      <c r="D10" s="24" t="s">
        <v>212</v>
      </c>
      <c r="E10" s="24" t="s">
        <v>213</v>
      </c>
      <c r="F10" s="24" t="s">
        <v>214</v>
      </c>
      <c r="G10" s="24" t="s">
        <v>9</v>
      </c>
      <c r="H10" s="24" t="s">
        <v>7</v>
      </c>
      <c r="I10" s="24" t="s">
        <v>375</v>
      </c>
    </row>
    <row r="11" spans="1:9" ht="25.05" customHeight="1" x14ac:dyDescent="0.3">
      <c r="A11" s="24" t="s">
        <v>127</v>
      </c>
      <c r="B11" s="26" t="s">
        <v>215</v>
      </c>
      <c r="C11" s="24" t="s">
        <v>216</v>
      </c>
      <c r="D11" s="24" t="s">
        <v>217</v>
      </c>
      <c r="E11" s="24" t="s">
        <v>218</v>
      </c>
      <c r="F11" s="24" t="s">
        <v>219</v>
      </c>
      <c r="G11" s="24" t="s">
        <v>8</v>
      </c>
      <c r="H11" s="24" t="s">
        <v>9</v>
      </c>
      <c r="I11" s="24" t="s">
        <v>376</v>
      </c>
    </row>
    <row r="12" spans="1:9" ht="25.05" customHeight="1" x14ac:dyDescent="0.3">
      <c r="A12" s="24" t="s">
        <v>128</v>
      </c>
      <c r="B12" s="26" t="s">
        <v>205</v>
      </c>
      <c r="C12" s="24" t="s">
        <v>206</v>
      </c>
      <c r="D12" s="24" t="s">
        <v>207</v>
      </c>
      <c r="E12" s="24" t="s">
        <v>208</v>
      </c>
      <c r="F12" s="24" t="s">
        <v>209</v>
      </c>
      <c r="G12" s="24" t="s">
        <v>7</v>
      </c>
      <c r="H12" s="24" t="s">
        <v>8</v>
      </c>
      <c r="I12" s="24" t="s">
        <v>377</v>
      </c>
    </row>
    <row r="13" spans="1:9" ht="25.05" customHeight="1" x14ac:dyDescent="0.3">
      <c r="A13" s="24" t="s">
        <v>129</v>
      </c>
      <c r="B13" s="32" t="s">
        <v>220</v>
      </c>
      <c r="C13" s="24" t="s">
        <v>221</v>
      </c>
      <c r="D13" s="24" t="s">
        <v>222</v>
      </c>
      <c r="E13" s="24" t="s">
        <v>223</v>
      </c>
      <c r="F13" s="24" t="s">
        <v>224</v>
      </c>
      <c r="G13" s="24" t="s">
        <v>6</v>
      </c>
      <c r="H13" s="24" t="s">
        <v>9</v>
      </c>
      <c r="I13" s="24" t="s">
        <v>378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B72D5C-FA31-485A-9CC9-A50018AD44C9}">
  <sheetPr codeName="Feuil8">
    <tabColor theme="0" tint="-0.499984740745262"/>
  </sheetPr>
  <dimension ref="A1:I13"/>
  <sheetViews>
    <sheetView topLeftCell="B1" workbookViewId="0">
      <selection activeCell="I14" sqref="I14"/>
    </sheetView>
  </sheetViews>
  <sheetFormatPr baseColWidth="10" defaultRowHeight="14.4" x14ac:dyDescent="0.3"/>
  <cols>
    <col min="2" max="2" width="61.44140625" customWidth="1"/>
    <col min="3" max="6" width="25.77734375" customWidth="1"/>
    <col min="7" max="8" width="13.6640625" customWidth="1"/>
    <col min="9" max="9" width="56.109375" customWidth="1"/>
  </cols>
  <sheetData>
    <row r="1" spans="1:9" ht="25.05" customHeight="1" x14ac:dyDescent="0.3">
      <c r="A1" s="2" t="s">
        <v>16</v>
      </c>
      <c r="B1" s="2" t="s">
        <v>5</v>
      </c>
      <c r="C1" s="2" t="s">
        <v>6</v>
      </c>
      <c r="D1" s="2" t="s">
        <v>7</v>
      </c>
      <c r="E1" s="2" t="s">
        <v>8</v>
      </c>
      <c r="F1" s="2" t="s">
        <v>9</v>
      </c>
      <c r="G1" s="2" t="s">
        <v>80</v>
      </c>
      <c r="H1" s="46" t="s">
        <v>255</v>
      </c>
      <c r="I1" s="2" t="s">
        <v>354</v>
      </c>
    </row>
    <row r="2" spans="1:9" ht="25.05" customHeight="1" x14ac:dyDescent="0.3">
      <c r="A2" s="24" t="s">
        <v>138</v>
      </c>
      <c r="B2" s="26" t="s">
        <v>150</v>
      </c>
      <c r="C2" s="25">
        <v>12</v>
      </c>
      <c r="D2" s="25">
        <v>13</v>
      </c>
      <c r="E2" s="25">
        <v>14</v>
      </c>
      <c r="F2" s="25">
        <v>15</v>
      </c>
      <c r="G2" s="24" t="s">
        <v>7</v>
      </c>
      <c r="H2" s="24" t="s">
        <v>8</v>
      </c>
      <c r="I2" s="24" t="s">
        <v>379</v>
      </c>
    </row>
    <row r="3" spans="1:9" ht="25.05" customHeight="1" x14ac:dyDescent="0.3">
      <c r="A3" s="24" t="s">
        <v>139</v>
      </c>
      <c r="B3" s="26" t="s">
        <v>166</v>
      </c>
      <c r="C3" s="24" t="s">
        <v>167</v>
      </c>
      <c r="D3" s="24" t="s">
        <v>168</v>
      </c>
      <c r="E3" s="24" t="s">
        <v>169</v>
      </c>
      <c r="F3" s="24" t="s">
        <v>170</v>
      </c>
      <c r="G3" s="24" t="s">
        <v>8</v>
      </c>
      <c r="H3" s="24" t="s">
        <v>7</v>
      </c>
      <c r="I3" s="24" t="s">
        <v>380</v>
      </c>
    </row>
    <row r="4" spans="1:9" ht="25.05" customHeight="1" x14ac:dyDescent="0.3">
      <c r="A4" s="24" t="s">
        <v>140</v>
      </c>
      <c r="B4" s="26" t="s">
        <v>253</v>
      </c>
      <c r="C4" s="24" t="s">
        <v>172</v>
      </c>
      <c r="D4" s="24" t="s">
        <v>171</v>
      </c>
      <c r="E4" s="25">
        <v>32</v>
      </c>
      <c r="F4" s="24" t="s">
        <v>173</v>
      </c>
      <c r="G4" s="24" t="s">
        <v>9</v>
      </c>
      <c r="H4" s="24" t="s">
        <v>8</v>
      </c>
      <c r="I4" s="24" t="s">
        <v>381</v>
      </c>
    </row>
    <row r="5" spans="1:9" ht="25.05" customHeight="1" x14ac:dyDescent="0.3">
      <c r="A5" s="24" t="s">
        <v>141</v>
      </c>
      <c r="B5" s="26" t="s">
        <v>174</v>
      </c>
      <c r="C5" s="24">
        <v>751</v>
      </c>
      <c r="D5" s="24">
        <v>1190</v>
      </c>
      <c r="E5" s="24">
        <v>1789</v>
      </c>
      <c r="F5" s="24">
        <v>1802</v>
      </c>
      <c r="G5" s="24" t="s">
        <v>7</v>
      </c>
      <c r="H5" s="24" t="s">
        <v>6</v>
      </c>
      <c r="I5" s="24" t="s">
        <v>382</v>
      </c>
    </row>
    <row r="6" spans="1:9" ht="25.05" customHeight="1" x14ac:dyDescent="0.3">
      <c r="A6" s="24" t="s">
        <v>142</v>
      </c>
      <c r="B6" s="26" t="s">
        <v>225</v>
      </c>
      <c r="C6" s="24">
        <v>330</v>
      </c>
      <c r="D6" s="24">
        <v>331</v>
      </c>
      <c r="E6" s="24">
        <v>332</v>
      </c>
      <c r="F6" s="24">
        <v>333</v>
      </c>
      <c r="G6" s="24" t="s">
        <v>6</v>
      </c>
      <c r="H6" s="24" t="s">
        <v>9</v>
      </c>
      <c r="I6" s="24" t="s">
        <v>383</v>
      </c>
    </row>
    <row r="7" spans="1:9" ht="25.05" customHeight="1" x14ac:dyDescent="0.3">
      <c r="A7" s="24" t="s">
        <v>143</v>
      </c>
      <c r="B7" s="26" t="s">
        <v>226</v>
      </c>
      <c r="C7" s="24" t="s">
        <v>227</v>
      </c>
      <c r="D7" s="24" t="s">
        <v>228</v>
      </c>
      <c r="E7" s="24" t="s">
        <v>229</v>
      </c>
      <c r="F7" s="24" t="s">
        <v>230</v>
      </c>
      <c r="G7" s="24" t="s">
        <v>9</v>
      </c>
      <c r="H7" s="24" t="s">
        <v>6</v>
      </c>
      <c r="I7" s="24" t="s">
        <v>384</v>
      </c>
    </row>
    <row r="8" spans="1:9" ht="25.05" customHeight="1" x14ac:dyDescent="0.3">
      <c r="A8" s="24" t="s">
        <v>144</v>
      </c>
      <c r="B8" s="26" t="s">
        <v>236</v>
      </c>
      <c r="C8" s="24" t="s">
        <v>237</v>
      </c>
      <c r="D8" s="24" t="s">
        <v>238</v>
      </c>
      <c r="E8" s="24" t="s">
        <v>239</v>
      </c>
      <c r="F8" s="24" t="s">
        <v>240</v>
      </c>
      <c r="G8" s="24" t="s">
        <v>6</v>
      </c>
      <c r="H8" s="24" t="s">
        <v>7</v>
      </c>
      <c r="I8" s="24" t="s">
        <v>385</v>
      </c>
    </row>
    <row r="9" spans="1:9" ht="25.05" customHeight="1" x14ac:dyDescent="0.3">
      <c r="A9" s="24" t="s">
        <v>145</v>
      </c>
      <c r="B9" s="26" t="s">
        <v>241</v>
      </c>
      <c r="C9" s="24">
        <v>23</v>
      </c>
      <c r="D9" s="24">
        <v>28</v>
      </c>
      <c r="E9" s="24">
        <v>33</v>
      </c>
      <c r="F9" s="24">
        <v>38</v>
      </c>
      <c r="G9" s="24" t="s">
        <v>8</v>
      </c>
      <c r="H9" s="24" t="s">
        <v>7</v>
      </c>
      <c r="I9" s="24" t="s">
        <v>386</v>
      </c>
    </row>
    <row r="10" spans="1:9" ht="25.05" customHeight="1" x14ac:dyDescent="0.3">
      <c r="A10" s="24" t="s">
        <v>146</v>
      </c>
      <c r="B10" s="26" t="s">
        <v>243</v>
      </c>
      <c r="C10" s="24" t="s">
        <v>244</v>
      </c>
      <c r="D10" s="24" t="s">
        <v>245</v>
      </c>
      <c r="E10" s="24" t="s">
        <v>246</v>
      </c>
      <c r="F10" s="24" t="s">
        <v>247</v>
      </c>
      <c r="G10" s="24" t="s">
        <v>7</v>
      </c>
      <c r="H10" s="24" t="s">
        <v>8</v>
      </c>
      <c r="I10" s="24" t="s">
        <v>387</v>
      </c>
    </row>
    <row r="11" spans="1:9" ht="25.05" customHeight="1" x14ac:dyDescent="0.3">
      <c r="A11" s="24" t="s">
        <v>147</v>
      </c>
      <c r="B11" s="26" t="s">
        <v>242</v>
      </c>
      <c r="C11" s="24">
        <v>4176</v>
      </c>
      <c r="D11" s="24">
        <v>3621</v>
      </c>
      <c r="E11" s="24">
        <v>2913</v>
      </c>
      <c r="F11" s="24">
        <v>1263</v>
      </c>
      <c r="G11" s="24" t="s">
        <v>6</v>
      </c>
      <c r="H11" s="24" t="s">
        <v>7</v>
      </c>
      <c r="I11" s="24" t="s">
        <v>388</v>
      </c>
    </row>
    <row r="12" spans="1:9" ht="30" customHeight="1" x14ac:dyDescent="0.3">
      <c r="A12" s="24" t="s">
        <v>148</v>
      </c>
      <c r="B12" s="26" t="s">
        <v>248</v>
      </c>
      <c r="C12" s="30" t="s">
        <v>249</v>
      </c>
      <c r="D12" s="24" t="s">
        <v>250</v>
      </c>
      <c r="E12" s="24" t="s">
        <v>251</v>
      </c>
      <c r="F12" s="24" t="s">
        <v>252</v>
      </c>
      <c r="G12" s="24" t="s">
        <v>9</v>
      </c>
      <c r="H12" s="24" t="s">
        <v>8</v>
      </c>
      <c r="I12" s="24" t="s">
        <v>389</v>
      </c>
    </row>
    <row r="13" spans="1:9" ht="25.05" customHeight="1" x14ac:dyDescent="0.3">
      <c r="A13" s="24" t="s">
        <v>149</v>
      </c>
      <c r="B13" s="26" t="s">
        <v>231</v>
      </c>
      <c r="C13" s="24" t="s">
        <v>232</v>
      </c>
      <c r="D13" s="24" t="s">
        <v>233</v>
      </c>
      <c r="E13" s="24" t="s">
        <v>234</v>
      </c>
      <c r="F13" s="24" t="s">
        <v>235</v>
      </c>
      <c r="G13" s="24" t="s">
        <v>7</v>
      </c>
      <c r="H13" s="24" t="s">
        <v>8</v>
      </c>
      <c r="I13" s="24" t="s">
        <v>390</v>
      </c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336EE3-A91A-4EF6-A483-8DFE95275A1A}">
  <sheetPr codeName="Feuil9">
    <tabColor theme="0" tint="-0.499984740745262"/>
  </sheetPr>
  <dimension ref="A1:I13"/>
  <sheetViews>
    <sheetView workbookViewId="0">
      <selection activeCell="I15" sqref="I15"/>
    </sheetView>
  </sheetViews>
  <sheetFormatPr baseColWidth="10" defaultRowHeight="14.4" x14ac:dyDescent="0.3"/>
  <cols>
    <col min="2" max="2" width="61.44140625" customWidth="1"/>
    <col min="3" max="6" width="25.77734375" customWidth="1"/>
    <col min="7" max="8" width="13.6640625" customWidth="1"/>
    <col min="9" max="9" width="47.77734375" customWidth="1"/>
  </cols>
  <sheetData>
    <row r="1" spans="1:9" ht="25.05" customHeight="1" x14ac:dyDescent="0.3">
      <c r="A1" s="2" t="s">
        <v>16</v>
      </c>
      <c r="B1" s="2" t="s">
        <v>5</v>
      </c>
      <c r="C1" s="2" t="s">
        <v>6</v>
      </c>
      <c r="D1" s="2" t="s">
        <v>7</v>
      </c>
      <c r="E1" s="2" t="s">
        <v>8</v>
      </c>
      <c r="F1" s="2" t="s">
        <v>9</v>
      </c>
      <c r="G1" s="2" t="s">
        <v>80</v>
      </c>
      <c r="H1" s="46" t="s">
        <v>255</v>
      </c>
      <c r="I1" s="2" t="s">
        <v>354</v>
      </c>
    </row>
    <row r="2" spans="1:9" ht="28.2" customHeight="1" x14ac:dyDescent="0.3">
      <c r="A2" s="24" t="s">
        <v>151</v>
      </c>
      <c r="B2" s="30" t="s">
        <v>326</v>
      </c>
      <c r="C2" s="24" t="s">
        <v>327</v>
      </c>
      <c r="D2" s="24" t="s">
        <v>329</v>
      </c>
      <c r="E2" s="24" t="s">
        <v>330</v>
      </c>
      <c r="F2" s="24" t="s">
        <v>328</v>
      </c>
      <c r="G2" s="24" t="s">
        <v>7</v>
      </c>
      <c r="H2" s="24" t="s">
        <v>8</v>
      </c>
      <c r="I2" s="24" t="s">
        <v>391</v>
      </c>
    </row>
    <row r="3" spans="1:9" ht="30" customHeight="1" x14ac:dyDescent="0.3">
      <c r="A3" s="24" t="s">
        <v>152</v>
      </c>
      <c r="B3" s="30" t="s">
        <v>331</v>
      </c>
      <c r="C3" s="24" t="s">
        <v>332</v>
      </c>
      <c r="D3" s="24" t="s">
        <v>333</v>
      </c>
      <c r="E3" s="24" t="s">
        <v>335</v>
      </c>
      <c r="F3" s="24" t="s">
        <v>334</v>
      </c>
      <c r="G3" s="24" t="s">
        <v>9</v>
      </c>
      <c r="H3" s="24" t="s">
        <v>8</v>
      </c>
      <c r="I3" s="24" t="s">
        <v>392</v>
      </c>
    </row>
    <row r="4" spans="1:9" ht="25.05" customHeight="1" x14ac:dyDescent="0.3">
      <c r="A4" s="24" t="s">
        <v>153</v>
      </c>
      <c r="B4" s="26" t="s">
        <v>163</v>
      </c>
      <c r="C4" s="25">
        <v>1924</v>
      </c>
      <c r="D4" s="25">
        <v>1933</v>
      </c>
      <c r="E4" s="25">
        <v>1920</v>
      </c>
      <c r="F4" s="25">
        <v>1931</v>
      </c>
      <c r="G4" s="24" t="s">
        <v>6</v>
      </c>
      <c r="H4" s="24" t="s">
        <v>8</v>
      </c>
      <c r="I4" s="24" t="s">
        <v>393</v>
      </c>
    </row>
    <row r="5" spans="1:9" ht="25.05" customHeight="1" x14ac:dyDescent="0.3">
      <c r="A5" s="24" t="s">
        <v>154</v>
      </c>
      <c r="B5" s="26" t="s">
        <v>292</v>
      </c>
      <c r="C5" s="24" t="s">
        <v>293</v>
      </c>
      <c r="D5" s="24" t="s">
        <v>294</v>
      </c>
      <c r="E5" s="24" t="s">
        <v>295</v>
      </c>
      <c r="F5" s="24" t="s">
        <v>296</v>
      </c>
      <c r="G5" s="24" t="s">
        <v>8</v>
      </c>
      <c r="H5" s="24" t="s">
        <v>7</v>
      </c>
      <c r="I5" s="24" t="s">
        <v>394</v>
      </c>
    </row>
    <row r="6" spans="1:9" ht="25.05" customHeight="1" x14ac:dyDescent="0.3">
      <c r="A6" s="24" t="s">
        <v>155</v>
      </c>
      <c r="B6" s="26" t="s">
        <v>297</v>
      </c>
      <c r="C6" s="28">
        <v>1945</v>
      </c>
      <c r="D6" s="28" t="s">
        <v>298</v>
      </c>
      <c r="E6" s="28" t="s">
        <v>299</v>
      </c>
      <c r="F6" s="28" t="s">
        <v>300</v>
      </c>
      <c r="G6" s="24" t="s">
        <v>8</v>
      </c>
      <c r="H6" s="24" t="s">
        <v>7</v>
      </c>
      <c r="I6" s="24" t="s">
        <v>395</v>
      </c>
    </row>
    <row r="7" spans="1:9" ht="25.05" customHeight="1" x14ac:dyDescent="0.3">
      <c r="A7" s="24" t="s">
        <v>156</v>
      </c>
      <c r="B7" s="26" t="s">
        <v>301</v>
      </c>
      <c r="C7" s="28" t="s">
        <v>302</v>
      </c>
      <c r="D7" s="28">
        <v>643</v>
      </c>
      <c r="E7" s="28" t="s">
        <v>303</v>
      </c>
      <c r="F7" s="28" t="s">
        <v>304</v>
      </c>
      <c r="G7" s="24" t="s">
        <v>7</v>
      </c>
      <c r="H7" s="24" t="s">
        <v>6</v>
      </c>
      <c r="I7" s="24" t="s">
        <v>396</v>
      </c>
    </row>
    <row r="8" spans="1:9" ht="28.2" customHeight="1" x14ac:dyDescent="0.3">
      <c r="A8" s="24" t="s">
        <v>157</v>
      </c>
      <c r="B8" s="26" t="s">
        <v>305</v>
      </c>
      <c r="C8" s="28" t="s">
        <v>308</v>
      </c>
      <c r="D8" s="28" t="s">
        <v>307</v>
      </c>
      <c r="E8" s="28" t="s">
        <v>306</v>
      </c>
      <c r="F8" s="28" t="s">
        <v>309</v>
      </c>
      <c r="G8" s="24" t="s">
        <v>8</v>
      </c>
      <c r="H8" s="24" t="s">
        <v>7</v>
      </c>
      <c r="I8" s="24" t="s">
        <v>397</v>
      </c>
    </row>
    <row r="9" spans="1:9" ht="25.05" customHeight="1" x14ac:dyDescent="0.3">
      <c r="A9" s="24" t="s">
        <v>158</v>
      </c>
      <c r="B9" s="26" t="s">
        <v>310</v>
      </c>
      <c r="C9" s="28" t="s">
        <v>311</v>
      </c>
      <c r="D9" s="28" t="s">
        <v>312</v>
      </c>
      <c r="E9" s="28" t="s">
        <v>313</v>
      </c>
      <c r="F9" s="28" t="s">
        <v>314</v>
      </c>
      <c r="G9" s="24" t="s">
        <v>6</v>
      </c>
      <c r="H9" s="24" t="s">
        <v>7</v>
      </c>
      <c r="I9" s="24" t="s">
        <v>398</v>
      </c>
    </row>
    <row r="10" spans="1:9" ht="32.4" customHeight="1" x14ac:dyDescent="0.3">
      <c r="A10" s="24" t="s">
        <v>159</v>
      </c>
      <c r="B10" s="26" t="s">
        <v>315</v>
      </c>
      <c r="C10" s="28">
        <v>20</v>
      </c>
      <c r="D10" s="28">
        <v>21</v>
      </c>
      <c r="E10" s="28">
        <v>22</v>
      </c>
      <c r="F10" s="28">
        <v>23</v>
      </c>
      <c r="G10" s="24" t="s">
        <v>9</v>
      </c>
      <c r="H10" s="24" t="s">
        <v>8</v>
      </c>
      <c r="I10" s="24" t="s">
        <v>399</v>
      </c>
    </row>
    <row r="11" spans="1:9" ht="25.05" customHeight="1" x14ac:dyDescent="0.3">
      <c r="A11" s="24" t="s">
        <v>160</v>
      </c>
      <c r="B11" s="26" t="s">
        <v>316</v>
      </c>
      <c r="C11" s="24" t="s">
        <v>317</v>
      </c>
      <c r="D11" s="24" t="s">
        <v>318</v>
      </c>
      <c r="E11" s="24" t="s">
        <v>320</v>
      </c>
      <c r="F11" s="24" t="s">
        <v>319</v>
      </c>
      <c r="G11" s="24" t="s">
        <v>9</v>
      </c>
      <c r="H11" s="24" t="s">
        <v>8</v>
      </c>
      <c r="I11" s="24" t="s">
        <v>400</v>
      </c>
    </row>
    <row r="12" spans="1:9" ht="25.05" customHeight="1" x14ac:dyDescent="0.3">
      <c r="A12" s="24" t="s">
        <v>161</v>
      </c>
      <c r="B12" s="26" t="s">
        <v>321</v>
      </c>
      <c r="C12" s="24" t="s">
        <v>322</v>
      </c>
      <c r="D12" s="24" t="s">
        <v>323</v>
      </c>
      <c r="E12" s="24" t="s">
        <v>325</v>
      </c>
      <c r="F12" s="24" t="s">
        <v>324</v>
      </c>
      <c r="G12" s="24" t="s">
        <v>7</v>
      </c>
      <c r="H12" s="24" t="s">
        <v>8</v>
      </c>
      <c r="I12" s="24" t="s">
        <v>401</v>
      </c>
    </row>
    <row r="13" spans="1:9" ht="25.05" customHeight="1" x14ac:dyDescent="0.3">
      <c r="A13" s="24" t="s">
        <v>162</v>
      </c>
      <c r="B13" s="26" t="s">
        <v>336</v>
      </c>
      <c r="C13" s="24" t="s">
        <v>337</v>
      </c>
      <c r="D13" s="24" t="s">
        <v>338</v>
      </c>
      <c r="E13" s="24" t="s">
        <v>339</v>
      </c>
      <c r="F13" s="24" t="s">
        <v>340</v>
      </c>
      <c r="G13" s="24" t="s">
        <v>6</v>
      </c>
      <c r="H13" s="24" t="s">
        <v>9</v>
      </c>
      <c r="I13" s="24" t="s">
        <v>402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Jeu</vt:lpstr>
      <vt:lpstr>Déroulement</vt:lpstr>
      <vt:lpstr>Pokemon</vt:lpstr>
      <vt:lpstr>Miku</vt:lpstr>
      <vt:lpstr>ESGI</vt:lpstr>
      <vt:lpstr>France</vt:lpstr>
      <vt:lpstr>Jadis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SOIDEZ</dc:creator>
  <cp:lastModifiedBy>Thomas SOIDEZ</cp:lastModifiedBy>
  <dcterms:created xsi:type="dcterms:W3CDTF">2025-11-26T09:00:20Z</dcterms:created>
  <dcterms:modified xsi:type="dcterms:W3CDTF">2025-12-14T22:49:40Z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olution ID">
    <vt:lpwstr>{15727DE6-F92D-4E46-ACB4-0E2C58B31A18}</vt:lpwstr>
  </property>
</Properties>
</file>